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yCharmMiscProject\Proj_Safra\Data_base\"/>
    </mc:Choice>
  </mc:AlternateContent>
  <xr:revisionPtr revIDLastSave="0" documentId="13_ncr:1_{6E85F22A-DCFF-419B-BF93-52C1CDF7A5C7}" xr6:coauthVersionLast="47" xr6:coauthVersionMax="47" xr10:uidLastSave="{00000000-0000-0000-0000-000000000000}"/>
  <bookViews>
    <workbookView xWindow="-110" yWindow="-110" windowWidth="19420" windowHeight="10300" xr2:uid="{C7922D5E-2F27-4AD5-8D79-42CB546B25E4}"/>
  </bookViews>
  <sheets>
    <sheet name="Histórico Safr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3" i="1" l="1"/>
  <c r="J193" i="1"/>
  <c r="I193" i="1"/>
  <c r="M192" i="1"/>
  <c r="I192" i="1"/>
  <c r="M191" i="1"/>
  <c r="J191" i="1"/>
  <c r="I191" i="1"/>
  <c r="M190" i="1"/>
  <c r="J190" i="1"/>
  <c r="K191" i="1" s="1"/>
  <c r="I190" i="1"/>
  <c r="M189" i="1"/>
  <c r="J189" i="1"/>
  <c r="K190" i="1" s="1"/>
  <c r="I189" i="1"/>
  <c r="M188" i="1"/>
  <c r="J188" i="1"/>
  <c r="K189" i="1" s="1"/>
  <c r="I188" i="1"/>
  <c r="M187" i="1"/>
  <c r="J187" i="1"/>
  <c r="K188" i="1" s="1"/>
  <c r="I187" i="1"/>
  <c r="M186" i="1"/>
  <c r="J186" i="1"/>
  <c r="K187" i="1" s="1"/>
  <c r="I186" i="1"/>
  <c r="M185" i="1"/>
  <c r="I185" i="1"/>
  <c r="M184" i="1"/>
  <c r="J184" i="1"/>
  <c r="I184" i="1"/>
  <c r="M183" i="1"/>
  <c r="J183" i="1"/>
  <c r="K184" i="1" s="1"/>
  <c r="I183" i="1"/>
  <c r="M182" i="1"/>
  <c r="J182" i="1"/>
  <c r="I182" i="1"/>
  <c r="M181" i="1"/>
  <c r="J181" i="1"/>
  <c r="K182" i="1" s="1"/>
  <c r="I181" i="1"/>
  <c r="M180" i="1"/>
  <c r="J180" i="1"/>
  <c r="K180" i="1" s="1"/>
  <c r="I180" i="1"/>
  <c r="M179" i="1"/>
  <c r="J179" i="1"/>
  <c r="I179" i="1"/>
  <c r="M178" i="1"/>
  <c r="J178" i="1"/>
  <c r="K179" i="1" s="1"/>
  <c r="I178" i="1"/>
  <c r="M177" i="1"/>
  <c r="J177" i="1"/>
  <c r="K177" i="1" s="1"/>
  <c r="I177" i="1"/>
  <c r="M176" i="1"/>
  <c r="J176" i="1"/>
  <c r="I176" i="1"/>
  <c r="M175" i="1"/>
  <c r="J175" i="1"/>
  <c r="K176" i="1" s="1"/>
  <c r="I175" i="1"/>
  <c r="M174" i="1"/>
  <c r="J174" i="1"/>
  <c r="I174" i="1"/>
  <c r="M173" i="1"/>
  <c r="J173" i="1"/>
  <c r="K174" i="1" s="1"/>
  <c r="I173" i="1"/>
  <c r="M172" i="1"/>
  <c r="I172" i="1"/>
  <c r="M171" i="1"/>
  <c r="J171" i="1"/>
  <c r="K171" i="1" s="1"/>
  <c r="I171" i="1"/>
  <c r="M170" i="1"/>
  <c r="J170" i="1"/>
  <c r="I170" i="1"/>
  <c r="M169" i="1"/>
  <c r="J169" i="1"/>
  <c r="K170" i="1" s="1"/>
  <c r="I169" i="1"/>
  <c r="M168" i="1"/>
  <c r="J168" i="1"/>
  <c r="K169" i="1" s="1"/>
  <c r="I168" i="1"/>
  <c r="M167" i="1"/>
  <c r="J167" i="1"/>
  <c r="K167" i="1" s="1"/>
  <c r="I167" i="1"/>
  <c r="M166" i="1"/>
  <c r="J166" i="1"/>
  <c r="I166" i="1"/>
  <c r="M165" i="1"/>
  <c r="J165" i="1"/>
  <c r="K165" i="1" s="1"/>
  <c r="I165" i="1"/>
  <c r="M164" i="1"/>
  <c r="J164" i="1"/>
  <c r="K164" i="1" s="1"/>
  <c r="I164" i="1"/>
  <c r="M163" i="1"/>
  <c r="J163" i="1"/>
  <c r="I163" i="1"/>
  <c r="M162" i="1"/>
  <c r="J162" i="1"/>
  <c r="K163" i="1" s="1"/>
  <c r="I162" i="1"/>
  <c r="M161" i="1"/>
  <c r="I161" i="1"/>
  <c r="M160" i="1"/>
  <c r="J160" i="1"/>
  <c r="I160" i="1"/>
  <c r="M159" i="1"/>
  <c r="J159" i="1"/>
  <c r="K159" i="1" s="1"/>
  <c r="I159" i="1"/>
  <c r="M158" i="1"/>
  <c r="K158" i="1"/>
  <c r="J158" i="1"/>
  <c r="I158" i="1"/>
  <c r="M157" i="1"/>
  <c r="J157" i="1"/>
  <c r="I157" i="1"/>
  <c r="M156" i="1"/>
  <c r="J156" i="1"/>
  <c r="K156" i="1" s="1"/>
  <c r="I156" i="1"/>
  <c r="M155" i="1"/>
  <c r="K155" i="1"/>
  <c r="J155" i="1"/>
  <c r="I155" i="1"/>
  <c r="M154" i="1"/>
  <c r="J154" i="1"/>
  <c r="I154" i="1"/>
  <c r="M153" i="1"/>
  <c r="J153" i="1"/>
  <c r="K153" i="1" s="1"/>
  <c r="I153" i="1"/>
  <c r="M152" i="1"/>
  <c r="K152" i="1"/>
  <c r="J152" i="1"/>
  <c r="I152" i="1"/>
  <c r="M151" i="1"/>
  <c r="J151" i="1"/>
  <c r="I151" i="1"/>
  <c r="M150" i="1"/>
  <c r="J150" i="1"/>
  <c r="K151" i="1" s="1"/>
  <c r="I150" i="1"/>
  <c r="M149" i="1"/>
  <c r="J149" i="1"/>
  <c r="K150" i="1" s="1"/>
  <c r="I149" i="1"/>
  <c r="M148" i="1"/>
  <c r="I148" i="1"/>
  <c r="M147" i="1"/>
  <c r="J147" i="1"/>
  <c r="I147" i="1"/>
  <c r="M146" i="1"/>
  <c r="J146" i="1"/>
  <c r="K147" i="1" s="1"/>
  <c r="I146" i="1"/>
  <c r="M145" i="1"/>
  <c r="J145" i="1"/>
  <c r="I145" i="1"/>
  <c r="M144" i="1"/>
  <c r="J144" i="1"/>
  <c r="K145" i="1" s="1"/>
  <c r="I144" i="1"/>
  <c r="M143" i="1"/>
  <c r="J143" i="1"/>
  <c r="K144" i="1" s="1"/>
  <c r="I143" i="1"/>
  <c r="M142" i="1"/>
  <c r="J142" i="1"/>
  <c r="I142" i="1"/>
  <c r="M141" i="1"/>
  <c r="J141" i="1"/>
  <c r="K142" i="1" s="1"/>
  <c r="I141" i="1"/>
  <c r="M140" i="1"/>
  <c r="J140" i="1"/>
  <c r="K141" i="1" s="1"/>
  <c r="I140" i="1"/>
  <c r="M139" i="1"/>
  <c r="J139" i="1"/>
  <c r="I139" i="1"/>
  <c r="M138" i="1"/>
  <c r="J138" i="1"/>
  <c r="K139" i="1" s="1"/>
  <c r="I138" i="1"/>
  <c r="M137" i="1"/>
  <c r="I137" i="1"/>
  <c r="M136" i="1"/>
  <c r="J136" i="1"/>
  <c r="K136" i="1" s="1"/>
  <c r="I136" i="1"/>
  <c r="M135" i="1"/>
  <c r="J135" i="1"/>
  <c r="K135" i="1" s="1"/>
  <c r="I135" i="1"/>
  <c r="M134" i="1"/>
  <c r="J134" i="1"/>
  <c r="I134" i="1"/>
  <c r="M133" i="1"/>
  <c r="J133" i="1"/>
  <c r="K134" i="1" s="1"/>
  <c r="I133" i="1"/>
  <c r="M132" i="1"/>
  <c r="J132" i="1"/>
  <c r="K132" i="1" s="1"/>
  <c r="I132" i="1"/>
  <c r="M131" i="1"/>
  <c r="J131" i="1"/>
  <c r="I131" i="1"/>
  <c r="M130" i="1"/>
  <c r="J130" i="1"/>
  <c r="K131" i="1" s="1"/>
  <c r="I130" i="1"/>
  <c r="M129" i="1"/>
  <c r="J129" i="1"/>
  <c r="K129" i="1" s="1"/>
  <c r="I129" i="1"/>
  <c r="M128" i="1"/>
  <c r="J128" i="1"/>
  <c r="I128" i="1"/>
  <c r="M127" i="1"/>
  <c r="J127" i="1"/>
  <c r="K128" i="1" s="1"/>
  <c r="I127" i="1"/>
  <c r="M126" i="1"/>
  <c r="J126" i="1"/>
  <c r="K126" i="1" s="1"/>
  <c r="I126" i="1"/>
  <c r="M125" i="1"/>
  <c r="J125" i="1"/>
  <c r="I125" i="1"/>
  <c r="M124" i="1"/>
  <c r="J124" i="1"/>
  <c r="K125" i="1" s="1"/>
  <c r="I124" i="1"/>
  <c r="M123" i="1"/>
  <c r="J123" i="1"/>
  <c r="K123" i="1" s="1"/>
  <c r="I123" i="1"/>
  <c r="M122" i="1"/>
  <c r="J122" i="1"/>
  <c r="I122" i="1"/>
  <c r="M121" i="1"/>
  <c r="J121" i="1"/>
  <c r="K122" i="1" s="1"/>
  <c r="I121" i="1"/>
  <c r="M120" i="1"/>
  <c r="I120" i="1"/>
  <c r="M119" i="1"/>
  <c r="J119" i="1"/>
  <c r="I119" i="1"/>
  <c r="M118" i="1"/>
  <c r="J118" i="1"/>
  <c r="I118" i="1"/>
  <c r="M117" i="1"/>
  <c r="J117" i="1"/>
  <c r="K118" i="1" s="1"/>
  <c r="I117" i="1"/>
  <c r="M116" i="1"/>
  <c r="J116" i="1"/>
  <c r="K116" i="1" s="1"/>
  <c r="I116" i="1"/>
  <c r="M115" i="1"/>
  <c r="J115" i="1"/>
  <c r="I115" i="1"/>
  <c r="M114" i="1"/>
  <c r="J114" i="1"/>
  <c r="K115" i="1" s="1"/>
  <c r="I114" i="1"/>
  <c r="M113" i="1"/>
  <c r="I113" i="1"/>
  <c r="M112" i="1"/>
  <c r="J112" i="1"/>
  <c r="K112" i="1" s="1"/>
  <c r="I112" i="1"/>
  <c r="M111" i="1"/>
  <c r="J111" i="1"/>
  <c r="I111" i="1"/>
  <c r="M110" i="1"/>
  <c r="J110" i="1"/>
  <c r="K111" i="1" s="1"/>
  <c r="I110" i="1"/>
  <c r="M109" i="1"/>
  <c r="J109" i="1"/>
  <c r="K109" i="1" s="1"/>
  <c r="I109" i="1"/>
  <c r="M108" i="1"/>
  <c r="J108" i="1"/>
  <c r="I108" i="1"/>
  <c r="M107" i="1"/>
  <c r="J107" i="1"/>
  <c r="K108" i="1" s="1"/>
  <c r="I107" i="1"/>
  <c r="M106" i="1"/>
  <c r="J106" i="1"/>
  <c r="K106" i="1" s="1"/>
  <c r="I106" i="1"/>
  <c r="M105" i="1"/>
  <c r="J105" i="1"/>
  <c r="I105" i="1"/>
  <c r="M104" i="1"/>
  <c r="J104" i="1"/>
  <c r="K105" i="1" s="1"/>
  <c r="I104" i="1"/>
  <c r="M103" i="1"/>
  <c r="J103" i="1"/>
  <c r="K103" i="1" s="1"/>
  <c r="I103" i="1"/>
  <c r="M102" i="1"/>
  <c r="J102" i="1"/>
  <c r="I102" i="1"/>
  <c r="M101" i="1"/>
  <c r="J101" i="1"/>
  <c r="K102" i="1" s="1"/>
  <c r="I101" i="1"/>
  <c r="M100" i="1"/>
  <c r="J100" i="1"/>
  <c r="K100" i="1" s="1"/>
  <c r="I100" i="1"/>
  <c r="M99" i="1"/>
  <c r="J99" i="1"/>
  <c r="I99" i="1"/>
  <c r="M98" i="1"/>
  <c r="J98" i="1"/>
  <c r="K98" i="1" s="1"/>
  <c r="I98" i="1"/>
  <c r="M97" i="1"/>
  <c r="J97" i="1"/>
  <c r="K97" i="1" s="1"/>
  <c r="I97" i="1"/>
  <c r="M96" i="1"/>
  <c r="J96" i="1"/>
  <c r="I96" i="1"/>
  <c r="M95" i="1"/>
  <c r="I95" i="1"/>
  <c r="M94" i="1"/>
  <c r="K94" i="1"/>
  <c r="J94" i="1"/>
  <c r="I94" i="1"/>
  <c r="M93" i="1"/>
  <c r="J93" i="1"/>
  <c r="I93" i="1"/>
  <c r="M92" i="1"/>
  <c r="J92" i="1"/>
  <c r="K92" i="1" s="1"/>
  <c r="I92" i="1"/>
  <c r="M91" i="1"/>
  <c r="K91" i="1"/>
  <c r="J91" i="1"/>
  <c r="I91" i="1"/>
  <c r="M90" i="1"/>
  <c r="K90" i="1"/>
  <c r="J90" i="1"/>
  <c r="I90" i="1"/>
  <c r="M89" i="1"/>
  <c r="J89" i="1"/>
  <c r="I89" i="1"/>
  <c r="M88" i="1"/>
  <c r="I88" i="1"/>
  <c r="M87" i="1"/>
  <c r="J87" i="1"/>
  <c r="I87" i="1"/>
  <c r="M86" i="1"/>
  <c r="J86" i="1"/>
  <c r="K87" i="1" s="1"/>
  <c r="I86" i="1"/>
  <c r="M85" i="1"/>
  <c r="J85" i="1"/>
  <c r="K86" i="1" s="1"/>
  <c r="I85" i="1"/>
  <c r="M84" i="1"/>
  <c r="J84" i="1"/>
  <c r="I84" i="1"/>
  <c r="M83" i="1"/>
  <c r="J83" i="1"/>
  <c r="K84" i="1" s="1"/>
  <c r="I83" i="1"/>
  <c r="M82" i="1"/>
  <c r="J82" i="1"/>
  <c r="K83" i="1" s="1"/>
  <c r="I82" i="1"/>
  <c r="M81" i="1"/>
  <c r="J81" i="1"/>
  <c r="I81" i="1"/>
  <c r="M80" i="1"/>
  <c r="J80" i="1"/>
  <c r="K81" i="1" s="1"/>
  <c r="I80" i="1"/>
  <c r="M79" i="1"/>
  <c r="J79" i="1"/>
  <c r="K80" i="1" s="1"/>
  <c r="I79" i="1"/>
  <c r="M78" i="1"/>
  <c r="J78" i="1"/>
  <c r="I78" i="1"/>
  <c r="M77" i="1"/>
  <c r="J77" i="1"/>
  <c r="I77" i="1"/>
  <c r="M76" i="1"/>
  <c r="I76" i="1"/>
  <c r="M75" i="1"/>
  <c r="J75" i="1"/>
  <c r="K75" i="1" s="1"/>
  <c r="I75" i="1"/>
  <c r="M74" i="1"/>
  <c r="J74" i="1"/>
  <c r="I74" i="1"/>
  <c r="M73" i="1"/>
  <c r="J73" i="1"/>
  <c r="K74" i="1" s="1"/>
  <c r="I73" i="1"/>
  <c r="M72" i="1"/>
  <c r="J72" i="1"/>
  <c r="K73" i="1" s="1"/>
  <c r="I72" i="1"/>
  <c r="M71" i="1"/>
  <c r="J71" i="1"/>
  <c r="I71" i="1"/>
  <c r="M70" i="1"/>
  <c r="I70" i="1"/>
  <c r="M69" i="1"/>
  <c r="J69" i="1"/>
  <c r="I69" i="1"/>
  <c r="M68" i="1"/>
  <c r="J68" i="1"/>
  <c r="K69" i="1" s="1"/>
  <c r="I68" i="1"/>
  <c r="M67" i="1"/>
  <c r="I67" i="1"/>
  <c r="M66" i="1"/>
  <c r="I66" i="1"/>
  <c r="M65" i="1"/>
  <c r="I65" i="1"/>
  <c r="M64" i="1"/>
  <c r="I64" i="1"/>
  <c r="M63" i="1"/>
  <c r="J63" i="1"/>
  <c r="K63" i="1" s="1"/>
  <c r="I63" i="1"/>
  <c r="M62" i="1"/>
  <c r="J62" i="1"/>
  <c r="I62" i="1"/>
  <c r="M61" i="1"/>
  <c r="J61" i="1"/>
  <c r="K62" i="1" s="1"/>
  <c r="I61" i="1"/>
  <c r="M60" i="1"/>
  <c r="J60" i="1"/>
  <c r="K61" i="1" s="1"/>
  <c r="I60" i="1"/>
  <c r="M59" i="1"/>
  <c r="I59" i="1"/>
  <c r="M58" i="1"/>
  <c r="J58" i="1"/>
  <c r="I58" i="1"/>
  <c r="M57" i="1"/>
  <c r="I57" i="1"/>
  <c r="M56" i="1"/>
  <c r="J56" i="1"/>
  <c r="I56" i="1"/>
  <c r="M55" i="1"/>
  <c r="J55" i="1"/>
  <c r="K56" i="1" s="1"/>
  <c r="I55" i="1"/>
  <c r="M54" i="1"/>
  <c r="I54" i="1"/>
  <c r="M53" i="1"/>
  <c r="J53" i="1"/>
  <c r="I53" i="1"/>
  <c r="M52" i="1"/>
  <c r="I52" i="1"/>
  <c r="M51" i="1"/>
  <c r="J51" i="1"/>
  <c r="K51" i="1" s="1"/>
  <c r="I51" i="1"/>
  <c r="M50" i="1"/>
  <c r="J50" i="1"/>
  <c r="I50" i="1"/>
  <c r="M49" i="1"/>
  <c r="I49" i="1"/>
  <c r="M48" i="1"/>
  <c r="J48" i="1"/>
  <c r="I48" i="1"/>
  <c r="M47" i="1"/>
  <c r="J47" i="1"/>
  <c r="K48" i="1" s="1"/>
  <c r="I47" i="1"/>
  <c r="M46" i="1"/>
  <c r="I46" i="1"/>
  <c r="M45" i="1"/>
  <c r="J45" i="1"/>
  <c r="K45" i="1" s="1"/>
  <c r="I45" i="1"/>
  <c r="M44" i="1"/>
  <c r="J44" i="1"/>
  <c r="I44" i="1"/>
  <c r="M43" i="1"/>
  <c r="I43" i="1"/>
  <c r="M42" i="1"/>
  <c r="J42" i="1"/>
  <c r="I42" i="1"/>
  <c r="M41" i="1"/>
  <c r="I41" i="1"/>
  <c r="M40" i="1"/>
  <c r="J40" i="1"/>
  <c r="I40" i="1"/>
  <c r="M39" i="1"/>
  <c r="J39" i="1"/>
  <c r="K40" i="1" s="1"/>
  <c r="I39" i="1"/>
  <c r="M38" i="1"/>
  <c r="J38" i="1"/>
  <c r="I38" i="1"/>
  <c r="M37" i="1"/>
  <c r="J37" i="1"/>
  <c r="K38" i="1" s="1"/>
  <c r="I37" i="1"/>
  <c r="M36" i="1"/>
  <c r="J36" i="1"/>
  <c r="K37" i="1" s="1"/>
  <c r="I36" i="1"/>
  <c r="M35" i="1"/>
  <c r="J35" i="1"/>
  <c r="I35" i="1"/>
  <c r="M34" i="1"/>
  <c r="J34" i="1"/>
  <c r="K35" i="1" s="1"/>
  <c r="I34" i="1"/>
  <c r="M33" i="1"/>
  <c r="J33" i="1"/>
  <c r="K34" i="1" s="1"/>
  <c r="I33" i="1"/>
  <c r="M32" i="1"/>
  <c r="J32" i="1"/>
  <c r="K32" i="1" s="1"/>
  <c r="I32" i="1"/>
  <c r="M31" i="1"/>
  <c r="J31" i="1"/>
  <c r="I31" i="1"/>
  <c r="M30" i="1"/>
  <c r="I30" i="1"/>
  <c r="M29" i="1"/>
  <c r="J29" i="1"/>
  <c r="I29" i="1"/>
  <c r="M28" i="1"/>
  <c r="I28" i="1"/>
  <c r="M27" i="1"/>
  <c r="J27" i="1"/>
  <c r="I27" i="1"/>
  <c r="M26" i="1"/>
  <c r="J26" i="1"/>
  <c r="K27" i="1" s="1"/>
  <c r="I26" i="1"/>
  <c r="M25" i="1"/>
  <c r="J25" i="1"/>
  <c r="K26" i="1" s="1"/>
  <c r="I25" i="1"/>
  <c r="M24" i="1"/>
  <c r="J24" i="1"/>
  <c r="I24" i="1"/>
  <c r="M23" i="1"/>
  <c r="J23" i="1"/>
  <c r="K24" i="1" s="1"/>
  <c r="I23" i="1"/>
  <c r="M22" i="1"/>
  <c r="J22" i="1"/>
  <c r="K22" i="1" s="1"/>
  <c r="I22" i="1"/>
  <c r="M21" i="1"/>
  <c r="J21" i="1"/>
  <c r="I21" i="1"/>
  <c r="M20" i="1"/>
  <c r="J20" i="1"/>
  <c r="K21" i="1" s="1"/>
  <c r="I20" i="1"/>
  <c r="M19" i="1"/>
  <c r="J19" i="1"/>
  <c r="K20" i="1" s="1"/>
  <c r="I19" i="1"/>
  <c r="M18" i="1"/>
  <c r="J18" i="1"/>
  <c r="I18" i="1"/>
  <c r="M17" i="1"/>
  <c r="I17" i="1"/>
  <c r="M16" i="1"/>
  <c r="J16" i="1"/>
  <c r="K16" i="1" s="1"/>
  <c r="I16" i="1"/>
  <c r="M15" i="1"/>
  <c r="J15" i="1"/>
  <c r="I15" i="1"/>
  <c r="M14" i="1"/>
  <c r="J14" i="1"/>
  <c r="K15" i="1" s="1"/>
  <c r="I14" i="1"/>
  <c r="M13" i="1"/>
  <c r="J13" i="1"/>
  <c r="K14" i="1" s="1"/>
  <c r="I13" i="1"/>
  <c r="M12" i="1"/>
  <c r="J12" i="1"/>
  <c r="I12" i="1"/>
  <c r="M11" i="1"/>
  <c r="J11" i="1"/>
  <c r="K12" i="1" s="1"/>
  <c r="I11" i="1"/>
  <c r="M10" i="1"/>
  <c r="J10" i="1"/>
  <c r="K11" i="1" s="1"/>
  <c r="I10" i="1"/>
  <c r="M9" i="1"/>
  <c r="J9" i="1"/>
  <c r="I9" i="1"/>
  <c r="M8" i="1"/>
  <c r="J8" i="1"/>
  <c r="K9" i="1" s="1"/>
  <c r="I8" i="1"/>
  <c r="M7" i="1"/>
  <c r="J7" i="1"/>
  <c r="K8" i="1" s="1"/>
  <c r="I7" i="1"/>
  <c r="M6" i="1"/>
  <c r="J6" i="1"/>
  <c r="I6" i="1"/>
  <c r="M5" i="1"/>
  <c r="J5" i="1"/>
  <c r="K6" i="1" s="1"/>
  <c r="I5" i="1"/>
  <c r="M4" i="1"/>
  <c r="I4" i="1"/>
  <c r="M3" i="1"/>
  <c r="J3" i="1"/>
  <c r="K3" i="1" s="1"/>
  <c r="I3" i="1"/>
  <c r="J2" i="1"/>
  <c r="K19" i="1" l="1"/>
  <c r="K25" i="1"/>
  <c r="K101" i="1"/>
  <c r="K104" i="1"/>
  <c r="K107" i="1"/>
  <c r="K110" i="1"/>
  <c r="K168" i="1"/>
  <c r="K93" i="1"/>
  <c r="K154" i="1"/>
  <c r="K157" i="1"/>
  <c r="K160" i="1"/>
  <c r="K183" i="1"/>
  <c r="K117" i="1"/>
  <c r="K124" i="1"/>
  <c r="K130" i="1"/>
  <c r="K178" i="1"/>
  <c r="K181" i="1"/>
  <c r="K7" i="1"/>
  <c r="K10" i="1"/>
  <c r="K13" i="1"/>
  <c r="K33" i="1"/>
  <c r="K36" i="1"/>
  <c r="K39" i="1"/>
  <c r="K72" i="1"/>
  <c r="K79" i="1"/>
  <c r="K82" i="1"/>
  <c r="K85" i="1"/>
  <c r="K140" i="1"/>
  <c r="K143" i="1"/>
  <c r="K146" i="1"/>
  <c r="K23" i="1"/>
  <c r="K99" i="1"/>
  <c r="K166" i="1"/>
  <c r="K127" i="1"/>
  <c r="K133" i="1"/>
  <c r="K175" i="1"/>
</calcChain>
</file>

<file path=xl/sharedStrings.xml><?xml version="1.0" encoding="utf-8"?>
<sst xmlns="http://schemas.openxmlformats.org/spreadsheetml/2006/main" count="589" uniqueCount="36">
  <si>
    <t>Safra</t>
  </si>
  <si>
    <t>Mês</t>
  </si>
  <si>
    <t>Quinzena</t>
  </si>
  <si>
    <t>Moagem</t>
  </si>
  <si>
    <t>ATR</t>
  </si>
  <si>
    <t>MIX</t>
  </si>
  <si>
    <t>Data</t>
  </si>
  <si>
    <t>Preço Açúcar NY</t>
  </si>
  <si>
    <t>Retorno por quinzena NY11</t>
  </si>
  <si>
    <t>Preço Etanol B3</t>
  </si>
  <si>
    <t>Retorno Ln Etanol</t>
  </si>
  <si>
    <t>Preço Dólar</t>
  </si>
  <si>
    <t>Retorno Ln Dólar</t>
  </si>
  <si>
    <t>17/18</t>
  </si>
  <si>
    <t>Abril</t>
  </si>
  <si>
    <t>1º</t>
  </si>
  <si>
    <t>2º</t>
  </si>
  <si>
    <t>Maio</t>
  </si>
  <si>
    <t>Junho</t>
  </si>
  <si>
    <t>Julho</t>
  </si>
  <si>
    <t>Agosto</t>
  </si>
  <si>
    <t>Setembro</t>
  </si>
  <si>
    <t>Setembo</t>
  </si>
  <si>
    <t>Outubro</t>
  </si>
  <si>
    <t>Novembro</t>
  </si>
  <si>
    <t>Dezembro</t>
  </si>
  <si>
    <t>Janeiro</t>
  </si>
  <si>
    <t>Fevereiro</t>
  </si>
  <si>
    <t>Março</t>
  </si>
  <si>
    <t>18/19</t>
  </si>
  <si>
    <t>19/20</t>
  </si>
  <si>
    <t>20/21</t>
  </si>
  <si>
    <t>21/22</t>
  </si>
  <si>
    <t>22/23</t>
  </si>
  <si>
    <t>23/24</t>
  </si>
  <si>
    <t>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</si>
</sst>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numFmt numFmtId="164" formatCode="0.0000%"/>
      <alignment horizontal="center" vertical="center" textRotation="0" wrapText="0" indent="0" justifyLastLine="0" shrinkToFit="0" readingOrder="0"/>
    </dxf>
    <dxf>
      <numFmt numFmtId="164" formatCode="0.0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22" formatCode="m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C77CE157-C196-4F08-A96D-911F57CCC2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deab6cbbb9e34f/Documentos/Estudo%20de%20mercado/Proje&#231;&#227;o%20de%20safra%20-%20OFICIAL.xlsm" TargetMode="External"/><Relationship Id="rId1" Type="http://schemas.openxmlformats.org/officeDocument/2006/relationships/externalLinkPath" Target="https://d.docs.live.net/bedeab6cbbb9e34f/Documentos/Estudo%20de%20mercado/Proje&#231;&#227;o%20de%20safra%20-%20OFICI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ção de cenário"/>
      <sheetName val="Simulação de distribuições"/>
      <sheetName val="Histórico de safras"/>
      <sheetName val="USD_BRL Dados Históricos"/>
      <sheetName val="Variação ano safra"/>
      <sheetName val="Dados Históricos - Etanol Hidra"/>
      <sheetName val="Dados Históricos - Açúcar NY nº"/>
      <sheetName val="Projeção de safra - OFI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A89CB-3609-4585-84DD-C073BC365299}" name="Tab_dadosSafra" displayName="Tab_dadosSafra" ref="A1:M193" totalsRowShown="0" headerRowDxfId="14" dataDxfId="13">
  <autoFilter ref="A1:M193" xr:uid="{C9DA89CB-3609-4585-84DD-C073BC365299}"/>
  <tableColumns count="13">
    <tableColumn id="1" xr3:uid="{F201190D-F4BA-4C2D-BE8C-B66A85DFBC3F}" name="Safra" dataDxfId="12"/>
    <tableColumn id="2" xr3:uid="{478773C4-0C5C-4C02-9B8D-6B0E69715EAF}" name="Mês" dataDxfId="11"/>
    <tableColumn id="3" xr3:uid="{931B508F-D1A8-426F-B7E6-B9FAEFBCBF76}" name="Quinzena" dataDxfId="10"/>
    <tableColumn id="4" xr3:uid="{7F66AB48-BCF8-4D34-B74C-495C574EEF48}" name="Moagem" dataDxfId="9"/>
    <tableColumn id="5" xr3:uid="{CC96636D-F467-4EEE-BE24-4D768851AD02}" name="ATR" dataDxfId="8"/>
    <tableColumn id="6" xr3:uid="{66EFEB98-7BC1-431D-9012-AFAB7D6CA242}" name="MIX" dataDxfId="7"/>
    <tableColumn id="7" xr3:uid="{AF4E8B25-78B0-4E9A-BF88-4FE30C66B661}" name="Data" dataDxfId="6"/>
    <tableColumn id="8" xr3:uid="{62CFB8F2-C223-4B93-BE72-481FEB154EE8}" name="Preço Açúcar NY" dataDxfId="5"/>
    <tableColumn id="9" xr3:uid="{C12909BC-1659-4E60-A121-E6B23E344507}" name="Retorno por quinzena NY11" dataDxfId="4"/>
    <tableColumn id="10" xr3:uid="{F557E159-1DC3-4D43-89DF-9A7143E2239E}" name="Preço Etanol B3" dataDxfId="3">
      <calculatedColumnFormula>VLOOKUP(Tab_dadosSafra[[#This Row],[Data]],[1]!Dados_Históricos___Etanol_Hidratado_Futuros[#Data],2,0)</calculatedColumnFormula>
    </tableColumn>
    <tableColumn id="11" xr3:uid="{E3769DF6-F4EB-4FA2-B314-3B258B480635}" name="Retorno Ln Etanol" dataDxfId="2"/>
    <tableColumn id="12" xr3:uid="{811A6EAC-455F-4322-8999-A1309E549CE6}" name="Preço Dólar" dataDxfId="1"/>
    <tableColumn id="13" xr3:uid="{9173A78F-8476-494F-8CC3-650C37E96CA3}" name="Retorno Ln Dól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B398-53F1-4CD0-8C15-2A5048B6C32B}">
  <dimension ref="A1:M193"/>
  <sheetViews>
    <sheetView tabSelected="1" topLeftCell="C1" workbookViewId="0">
      <selection activeCell="H1" sqref="A1:M1"/>
    </sheetView>
  </sheetViews>
  <sheetFormatPr defaultRowHeight="14.5" x14ac:dyDescent="0.35"/>
  <cols>
    <col min="1" max="1" width="9.81640625" bestFit="1" customWidth="1"/>
    <col min="2" max="2" width="9.6328125" bestFit="1" customWidth="1"/>
    <col min="3" max="3" width="13.453125" bestFit="1" customWidth="1"/>
    <col min="4" max="4" width="12.6328125" bestFit="1" customWidth="1"/>
    <col min="6" max="6" width="8.54296875" bestFit="1" customWidth="1"/>
    <col min="7" max="7" width="10.08984375" bestFit="1" customWidth="1"/>
    <col min="8" max="8" width="19.453125" bestFit="1" customWidth="1"/>
    <col min="9" max="9" width="29.1796875" bestFit="1" customWidth="1"/>
    <col min="10" max="10" width="18.81640625" bestFit="1" customWidth="1"/>
    <col min="11" max="11" width="21" bestFit="1" customWidth="1"/>
    <col min="12" max="12" width="15.36328125" bestFit="1" customWidth="1"/>
    <col min="13" max="13" width="20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2">
        <v>17680550</v>
      </c>
      <c r="E2" s="1">
        <v>106.63</v>
      </c>
      <c r="F2" s="3">
        <v>0.39250000000000002</v>
      </c>
      <c r="G2" s="4">
        <v>42828</v>
      </c>
      <c r="H2" s="5">
        <v>16.54</v>
      </c>
      <c r="I2" s="1"/>
      <c r="J2" s="5">
        <f>VLOOKUP(Tab_dadosSafra[[#This Row],[Data]],[1]!Dados_Históricos___Etanol_Hidratado_Futuros[#Data],2,0)</f>
        <v>1480</v>
      </c>
      <c r="K2" s="1"/>
      <c r="L2" s="1">
        <v>3.1137999999999999</v>
      </c>
      <c r="M2" s="1"/>
    </row>
    <row r="3" spans="1:13" x14ac:dyDescent="0.35">
      <c r="A3" s="1" t="s">
        <v>13</v>
      </c>
      <c r="B3" s="1" t="s">
        <v>14</v>
      </c>
      <c r="C3" s="6" t="s">
        <v>16</v>
      </c>
      <c r="D3" s="2">
        <v>24264000</v>
      </c>
      <c r="E3" s="1">
        <v>113.75</v>
      </c>
      <c r="F3" s="3">
        <v>0.42970000000000003</v>
      </c>
      <c r="G3" s="4">
        <v>42838</v>
      </c>
      <c r="H3" s="5">
        <v>16.600000000000001</v>
      </c>
      <c r="I3" s="7">
        <f>LN(Tab_dadosSafra[[#This Row],[Preço Açúcar NY]]/H2)</f>
        <v>3.6210057669523619E-3</v>
      </c>
      <c r="J3" s="5">
        <f>VLOOKUP(Tab_dadosSafra[[#This Row],[Data]],[1]!Dados_Históricos___Etanol_Hidratado_Futuros[#Data],2,0)</f>
        <v>1525</v>
      </c>
      <c r="K3" s="7">
        <f>LN(Tab_dadosSafra[[#This Row],[Preço Etanol B3]]/J2)</f>
        <v>2.9952322283351325E-2</v>
      </c>
      <c r="L3" s="1">
        <v>3.1436999999999999</v>
      </c>
      <c r="M3" s="7">
        <f>LN(Tab_dadosSafra[[#This Row],[Preço Dólar]]/L2)</f>
        <v>9.5566048934315386E-3</v>
      </c>
    </row>
    <row r="4" spans="1:13" x14ac:dyDescent="0.35">
      <c r="A4" s="1" t="s">
        <v>13</v>
      </c>
      <c r="B4" s="1" t="s">
        <v>17</v>
      </c>
      <c r="C4" s="6" t="s">
        <v>15</v>
      </c>
      <c r="D4" s="2">
        <v>38573000</v>
      </c>
      <c r="E4" s="1">
        <v>122.87</v>
      </c>
      <c r="F4" s="3">
        <v>0.4677</v>
      </c>
      <c r="G4" s="4">
        <v>42856</v>
      </c>
      <c r="H4" s="5">
        <v>16.18</v>
      </c>
      <c r="I4" s="7">
        <f>LN(Tab_dadosSafra[[#This Row],[Preço Açúcar NY]]/H3)</f>
        <v>-2.5626783732152037E-2</v>
      </c>
      <c r="J4" s="5">
        <v>0</v>
      </c>
      <c r="K4" s="7">
        <v>0</v>
      </c>
      <c r="L4" s="1">
        <v>3.1755</v>
      </c>
      <c r="M4" s="7">
        <f>LN(Tab_dadosSafra[[#This Row],[Preço Dólar]]/L3)</f>
        <v>1.0064650094023899E-2</v>
      </c>
    </row>
    <row r="5" spans="1:13" x14ac:dyDescent="0.35">
      <c r="A5" s="1" t="s">
        <v>13</v>
      </c>
      <c r="B5" s="1" t="s">
        <v>17</v>
      </c>
      <c r="C5" s="6" t="s">
        <v>16</v>
      </c>
      <c r="D5" s="2">
        <v>31700000</v>
      </c>
      <c r="E5" s="1">
        <v>122.83</v>
      </c>
      <c r="F5" s="3">
        <v>0.47449999999999998</v>
      </c>
      <c r="G5" s="4">
        <v>42870</v>
      </c>
      <c r="H5" s="5">
        <v>15.61</v>
      </c>
      <c r="I5" s="7">
        <f>LN(Tab_dadosSafra[[#This Row],[Preço Açúcar NY]]/H4)</f>
        <v>-3.586417710300497E-2</v>
      </c>
      <c r="J5" s="5">
        <f>VLOOKUP(Tab_dadosSafra[[#This Row],[Data]],[1]!Dados_Históricos___Etanol_Hidratado_Futuros[#Data],2,0)</f>
        <v>1435</v>
      </c>
      <c r="K5" s="7">
        <v>0</v>
      </c>
      <c r="L5" s="1">
        <v>3.1105</v>
      </c>
      <c r="M5" s="7">
        <f>LN(Tab_dadosSafra[[#This Row],[Preço Dólar]]/L4)</f>
        <v>-2.0681615287955028E-2</v>
      </c>
    </row>
    <row r="6" spans="1:13" x14ac:dyDescent="0.35">
      <c r="A6" s="1" t="s">
        <v>13</v>
      </c>
      <c r="B6" s="1" t="s">
        <v>18</v>
      </c>
      <c r="C6" s="1" t="s">
        <v>15</v>
      </c>
      <c r="D6" s="2">
        <v>39498000</v>
      </c>
      <c r="E6" s="1">
        <v>128.41</v>
      </c>
      <c r="F6" s="3">
        <v>0.49340000000000001</v>
      </c>
      <c r="G6" s="4">
        <v>42887</v>
      </c>
      <c r="H6" s="5">
        <v>14.23</v>
      </c>
      <c r="I6" s="7">
        <f>LN(Tab_dadosSafra[[#This Row],[Preço Açúcar NY]]/H5)</f>
        <v>-9.2559322425579668E-2</v>
      </c>
      <c r="J6" s="5">
        <f>VLOOKUP(Tab_dadosSafra[[#This Row],[Data]],[1]!Dados_Históricos___Etanol_Hidratado_Futuros[#Data],2,0)</f>
        <v>1390</v>
      </c>
      <c r="K6" s="7">
        <f>LN(Tab_dadosSafra[[#This Row],[Preço Etanol B3]]/J5)</f>
        <v>-3.1861102068984008E-2</v>
      </c>
      <c r="L6" s="1">
        <v>3.2494999999999998</v>
      </c>
      <c r="M6" s="7">
        <f>LN(Tab_dadosSafra[[#This Row],[Preço Dólar]]/L5)</f>
        <v>4.3717653379328959E-2</v>
      </c>
    </row>
    <row r="7" spans="1:13" x14ac:dyDescent="0.35">
      <c r="A7" s="1" t="s">
        <v>13</v>
      </c>
      <c r="B7" s="1" t="s">
        <v>18</v>
      </c>
      <c r="C7" s="6" t="s">
        <v>16</v>
      </c>
      <c r="D7" s="2">
        <v>47714000</v>
      </c>
      <c r="E7" s="1">
        <v>129.97</v>
      </c>
      <c r="F7" s="3">
        <v>0.50480000000000003</v>
      </c>
      <c r="G7" s="4">
        <v>42901</v>
      </c>
      <c r="H7" s="5">
        <v>13.47</v>
      </c>
      <c r="I7" s="7">
        <f>LN(Tab_dadosSafra[[#This Row],[Preço Açúcar NY]]/H6)</f>
        <v>-5.4887421679488339E-2</v>
      </c>
      <c r="J7" s="5">
        <f>VLOOKUP(Tab_dadosSafra[[#This Row],[Data]],[1]!Dados_Históricos___Etanol_Hidratado_Futuros[#Data],2,0)</f>
        <v>1375</v>
      </c>
      <c r="K7" s="7">
        <f>LN(Tab_dadosSafra[[#This Row],[Preço Etanol B3]]/J6)</f>
        <v>-1.0850016024065818E-2</v>
      </c>
      <c r="L7" s="1">
        <v>3.274</v>
      </c>
      <c r="M7" s="7">
        <f>LN(Tab_dadosSafra[[#This Row],[Preço Dólar]]/L6)</f>
        <v>7.5113405966766005E-3</v>
      </c>
    </row>
    <row r="8" spans="1:13" x14ac:dyDescent="0.35">
      <c r="A8" s="1" t="s">
        <v>13</v>
      </c>
      <c r="B8" s="1" t="s">
        <v>19</v>
      </c>
      <c r="C8" s="6" t="s">
        <v>15</v>
      </c>
      <c r="D8" s="2">
        <v>48000000</v>
      </c>
      <c r="E8" s="5">
        <v>135.07</v>
      </c>
      <c r="F8" s="3">
        <v>0.50380000000000003</v>
      </c>
      <c r="G8" s="4">
        <v>42919</v>
      </c>
      <c r="H8" s="5">
        <v>13.92</v>
      </c>
      <c r="I8" s="7">
        <f>LN(Tab_dadosSafra[[#This Row],[Preço Açúcar NY]]/H7)</f>
        <v>3.2861664484000824E-2</v>
      </c>
      <c r="J8" s="5">
        <f>VLOOKUP(Tab_dadosSafra[[#This Row],[Data]],[1]!Dados_Históricos___Etanol_Hidratado_Futuros[#Data],2,0)</f>
        <v>1350</v>
      </c>
      <c r="K8" s="7">
        <f>LN(Tab_dadosSafra[[#This Row],[Preço Etanol B3]]/J7)</f>
        <v>-1.8349138668196541E-2</v>
      </c>
      <c r="L8" s="1">
        <v>3.3003</v>
      </c>
      <c r="M8" s="7">
        <f>LN(Tab_dadosSafra[[#This Row],[Preço Dólar]]/L7)</f>
        <v>8.0008944824196005E-3</v>
      </c>
    </row>
    <row r="9" spans="1:13" x14ac:dyDescent="0.35">
      <c r="A9" s="1" t="s">
        <v>13</v>
      </c>
      <c r="B9" s="1" t="s">
        <v>19</v>
      </c>
      <c r="C9" s="6" t="s">
        <v>16</v>
      </c>
      <c r="D9" s="2">
        <v>50907000</v>
      </c>
      <c r="E9" s="1">
        <v>140.29</v>
      </c>
      <c r="F9" s="3">
        <v>0.50329999999999997</v>
      </c>
      <c r="G9" s="4">
        <v>42930</v>
      </c>
      <c r="H9" s="5">
        <v>14.3</v>
      </c>
      <c r="I9" s="7">
        <f>LN(Tab_dadosSafra[[#This Row],[Preço Açúcar NY]]/H8)</f>
        <v>2.6932882359588069E-2</v>
      </c>
      <c r="J9" s="5">
        <f>VLOOKUP(Tab_dadosSafra[[#This Row],[Data]],[1]!Dados_Históricos___Etanol_Hidratado_Futuros[#Data],2,0)</f>
        <v>1362.5</v>
      </c>
      <c r="K9" s="7">
        <f>LN(Tab_dadosSafra[[#This Row],[Preço Etanol B3]]/J8)</f>
        <v>9.2166551049240476E-3</v>
      </c>
      <c r="L9" s="1">
        <v>3.1793999999999998</v>
      </c>
      <c r="M9" s="7">
        <f>LN(Tab_dadosSafra[[#This Row],[Preço Dólar]]/L8)</f>
        <v>-3.7320873686728373E-2</v>
      </c>
    </row>
    <row r="10" spans="1:13" x14ac:dyDescent="0.35">
      <c r="A10" s="1" t="s">
        <v>13</v>
      </c>
      <c r="B10" s="1" t="s">
        <v>20</v>
      </c>
      <c r="C10" s="1" t="s">
        <v>15</v>
      </c>
      <c r="D10" s="2">
        <v>45440000</v>
      </c>
      <c r="E10" s="1">
        <v>146.29</v>
      </c>
      <c r="F10" s="3">
        <v>0.50039999999999996</v>
      </c>
      <c r="G10" s="4">
        <v>42948</v>
      </c>
      <c r="H10" s="5">
        <v>14.88</v>
      </c>
      <c r="I10" s="7">
        <f>LN(Tab_dadosSafra[[#This Row],[Preço Açúcar NY]]/H9)</f>
        <v>3.9758492139084153E-2</v>
      </c>
      <c r="J10" s="5">
        <f>VLOOKUP(Tab_dadosSafra[[#This Row],[Data]],[1]!Dados_Históricos___Etanol_Hidratado_Futuros[#Data],2,0)</f>
        <v>1505</v>
      </c>
      <c r="K10" s="7">
        <f>LN(Tab_dadosSafra[[#This Row],[Preço Etanol B3]]/J9)</f>
        <v>9.947165064557692E-2</v>
      </c>
      <c r="L10" s="1">
        <v>3.1254</v>
      </c>
      <c r="M10" s="7">
        <f>LN(Tab_dadosSafra[[#This Row],[Preço Dólar]]/L9)</f>
        <v>-1.7130224747570533E-2</v>
      </c>
    </row>
    <row r="11" spans="1:13" x14ac:dyDescent="0.35">
      <c r="A11" s="1" t="s">
        <v>13</v>
      </c>
      <c r="B11" s="1" t="s">
        <v>20</v>
      </c>
      <c r="C11" s="6" t="s">
        <v>16</v>
      </c>
      <c r="D11" s="2">
        <v>39072000</v>
      </c>
      <c r="E11" s="1">
        <v>145.66999999999999</v>
      </c>
      <c r="F11" s="3">
        <v>0.46949999999999997</v>
      </c>
      <c r="G11" s="4">
        <v>42962</v>
      </c>
      <c r="H11" s="5">
        <v>13.13</v>
      </c>
      <c r="I11" s="7">
        <f>LN(Tab_dadosSafra[[#This Row],[Preço Açúcar NY]]/H10)</f>
        <v>-0.12511834109024092</v>
      </c>
      <c r="J11" s="5">
        <f>VLOOKUP(Tab_dadosSafra[[#This Row],[Data]],[1]!Dados_Históricos___Etanol_Hidratado_Futuros[#Data],2,0)</f>
        <v>1492.5</v>
      </c>
      <c r="K11" s="7">
        <f>LN(Tab_dadosSafra[[#This Row],[Preço Etanol B3]]/J10)</f>
        <v>-8.3403319162189508E-3</v>
      </c>
      <c r="L11" s="1">
        <v>3.1692</v>
      </c>
      <c r="M11" s="7">
        <f>LN(Tab_dadosSafra[[#This Row],[Preço Dólar]]/L10)</f>
        <v>1.39169151118861E-2</v>
      </c>
    </row>
    <row r="12" spans="1:13" x14ac:dyDescent="0.35">
      <c r="A12" s="1" t="s">
        <v>13</v>
      </c>
      <c r="B12" s="1" t="s">
        <v>21</v>
      </c>
      <c r="C12" s="6" t="s">
        <v>15</v>
      </c>
      <c r="D12" s="2">
        <v>45473000</v>
      </c>
      <c r="E12" s="1">
        <v>150.51</v>
      </c>
      <c r="F12" s="3">
        <v>0.47960000000000003</v>
      </c>
      <c r="G12" s="4">
        <v>42979</v>
      </c>
      <c r="H12" s="5">
        <v>13.75</v>
      </c>
      <c r="I12" s="7">
        <f>LN(Tab_dadosSafra[[#This Row],[Preço Açúcar NY]]/H11)</f>
        <v>4.6139135797875409E-2</v>
      </c>
      <c r="J12" s="5">
        <f>VLOOKUP(Tab_dadosSafra[[#This Row],[Data]],[1]!Dados_Históricos___Etanol_Hidratado_Futuros[#Data],2,0)</f>
        <v>1505</v>
      </c>
      <c r="K12" s="7">
        <f>LN(Tab_dadosSafra[[#This Row],[Preço Etanol B3]]/J11)</f>
        <v>8.3403319162189508E-3</v>
      </c>
      <c r="L12" s="1">
        <v>3.1408999999999998</v>
      </c>
      <c r="M12" s="7">
        <f>LN(Tab_dadosSafra[[#This Row],[Preço Dólar]]/L11)</f>
        <v>-8.9698070538359563E-3</v>
      </c>
    </row>
    <row r="13" spans="1:13" x14ac:dyDescent="0.35">
      <c r="A13" s="1" t="s">
        <v>13</v>
      </c>
      <c r="B13" s="1" t="s">
        <v>22</v>
      </c>
      <c r="C13" s="6" t="s">
        <v>16</v>
      </c>
      <c r="D13" s="2">
        <v>40459000</v>
      </c>
      <c r="E13" s="1">
        <v>159.33000000000001</v>
      </c>
      <c r="F13" s="3">
        <v>0.46539999999999998</v>
      </c>
      <c r="G13" s="4">
        <v>42993</v>
      </c>
      <c r="H13" s="5">
        <v>14.55</v>
      </c>
      <c r="I13" s="7">
        <f>LN(Tab_dadosSafra[[#This Row],[Preço Açúcar NY]]/H12)</f>
        <v>5.6552169504921361E-2</v>
      </c>
      <c r="J13" s="5">
        <f>VLOOKUP(Tab_dadosSafra[[#This Row],[Data]],[1]!Dados_Históricos___Etanol_Hidratado_Futuros[#Data],2,0)</f>
        <v>1507.5</v>
      </c>
      <c r="K13" s="7">
        <f>LN(Tab_dadosSafra[[#This Row],[Preço Etanol B3]]/J12)</f>
        <v>1.6597514183644708E-3</v>
      </c>
      <c r="L13" s="1">
        <v>3.1078999999999999</v>
      </c>
      <c r="M13" s="7">
        <f>LN(Tab_dadosSafra[[#This Row],[Preço Dólar]]/L12)</f>
        <v>-1.056212609951533E-2</v>
      </c>
    </row>
    <row r="14" spans="1:13" x14ac:dyDescent="0.35">
      <c r="A14" s="1" t="s">
        <v>13</v>
      </c>
      <c r="B14" s="1" t="s">
        <v>23</v>
      </c>
      <c r="C14" s="1" t="s">
        <v>15</v>
      </c>
      <c r="D14" s="2">
        <v>32520000</v>
      </c>
      <c r="E14" s="1">
        <v>146.36000000000001</v>
      </c>
      <c r="F14" s="3">
        <v>0.43759999999999999</v>
      </c>
      <c r="G14" s="4">
        <v>43010</v>
      </c>
      <c r="H14" s="5">
        <v>14.31</v>
      </c>
      <c r="I14" s="7">
        <f>LN(Tab_dadosSafra[[#This Row],[Preço Açúcar NY]]/H13)</f>
        <v>-1.6632400049142033E-2</v>
      </c>
      <c r="J14" s="5">
        <f>VLOOKUP(Tab_dadosSafra[[#This Row],[Data]],[1]!Dados_Históricos___Etanol_Hidratado_Futuros[#Data],2,0)</f>
        <v>1575</v>
      </c>
      <c r="K14" s="7">
        <f>LN(Tab_dadosSafra[[#This Row],[Preço Etanol B3]]/J13)</f>
        <v>4.380262265839284E-2</v>
      </c>
      <c r="L14" s="1">
        <v>3.1537999999999999</v>
      </c>
      <c r="M14" s="7">
        <f>LN(Tab_dadosSafra[[#This Row],[Preço Dólar]]/L13)</f>
        <v>1.4660818033750907E-2</v>
      </c>
    </row>
    <row r="15" spans="1:13" x14ac:dyDescent="0.35">
      <c r="A15" s="1" t="s">
        <v>13</v>
      </c>
      <c r="B15" s="1" t="s">
        <v>23</v>
      </c>
      <c r="C15" s="6" t="s">
        <v>16</v>
      </c>
      <c r="D15" s="2">
        <v>30146000</v>
      </c>
      <c r="E15" s="1">
        <v>153.63999999999999</v>
      </c>
      <c r="F15" s="3">
        <v>0.42849999999999999</v>
      </c>
      <c r="G15" s="4">
        <v>43024</v>
      </c>
      <c r="H15" s="5">
        <v>14.18</v>
      </c>
      <c r="I15" s="7">
        <f>LN(Tab_dadosSafra[[#This Row],[Preço Açúcar NY]]/H14)</f>
        <v>-9.1260724643781842E-3</v>
      </c>
      <c r="J15" s="5">
        <f>VLOOKUP(Tab_dadosSafra[[#This Row],[Data]],[1]!Dados_Históricos___Etanol_Hidratado_Futuros[#Data],2,0)</f>
        <v>1600</v>
      </c>
      <c r="K15" s="7">
        <f>LN(Tab_dadosSafra[[#This Row],[Preço Etanol B3]]/J14)</f>
        <v>1.5748356968139112E-2</v>
      </c>
      <c r="L15" s="1">
        <v>3.1707000000000001</v>
      </c>
      <c r="M15" s="7">
        <f>LN(Tab_dadosSafra[[#This Row],[Preço Dólar]]/L14)</f>
        <v>5.3443087119248783E-3</v>
      </c>
    </row>
    <row r="16" spans="1:13" x14ac:dyDescent="0.35">
      <c r="A16" s="1" t="s">
        <v>13</v>
      </c>
      <c r="B16" s="1" t="s">
        <v>24</v>
      </c>
      <c r="C16" s="6" t="s">
        <v>15</v>
      </c>
      <c r="D16" s="2">
        <v>23448000</v>
      </c>
      <c r="E16" s="1">
        <v>132.63999999999999</v>
      </c>
      <c r="F16" s="3">
        <v>0.42549999999999999</v>
      </c>
      <c r="G16" s="4">
        <v>43040</v>
      </c>
      <c r="H16" s="5">
        <v>14.61</v>
      </c>
      <c r="I16" s="7">
        <f>LN(Tab_dadosSafra[[#This Row],[Preço Açúcar NY]]/H15)</f>
        <v>2.9873704658626734E-2</v>
      </c>
      <c r="J16" s="5">
        <f>VLOOKUP(Tab_dadosSafra[[#This Row],[Data]],[1]!Dados_Históricos___Etanol_Hidratado_Futuros[#Data],2,0)</f>
        <v>1670</v>
      </c>
      <c r="K16" s="7">
        <f>LN(Tab_dadosSafra[[#This Row],[Preço Etanol B3]]/J15)</f>
        <v>4.2819997182928143E-2</v>
      </c>
      <c r="L16" s="1">
        <v>3.2673000000000001</v>
      </c>
      <c r="M16" s="7">
        <f>LN(Tab_dadosSafra[[#This Row],[Preço Dólar]]/L15)</f>
        <v>3.0011572066339191E-2</v>
      </c>
    </row>
    <row r="17" spans="1:13" x14ac:dyDescent="0.35">
      <c r="A17" s="1" t="s">
        <v>13</v>
      </c>
      <c r="B17" s="1" t="s">
        <v>24</v>
      </c>
      <c r="C17" s="6" t="s">
        <v>16</v>
      </c>
      <c r="D17" s="2">
        <v>15422000</v>
      </c>
      <c r="E17" s="1">
        <v>137.30000000000001</v>
      </c>
      <c r="F17" s="3">
        <v>0.36830000000000002</v>
      </c>
      <c r="G17" s="4">
        <v>43054</v>
      </c>
      <c r="H17" s="5">
        <v>15.09</v>
      </c>
      <c r="I17" s="7">
        <f>LN(Tab_dadosSafra[[#This Row],[Preço Açúcar NY]]/H16)</f>
        <v>3.2326047017149459E-2</v>
      </c>
      <c r="J17" s="5">
        <v>0</v>
      </c>
      <c r="K17" s="7">
        <v>0</v>
      </c>
      <c r="L17" s="1">
        <v>3.3132000000000001</v>
      </c>
      <c r="M17" s="7">
        <f>LN(Tab_dadosSafra[[#This Row],[Preço Dólar]]/L16)</f>
        <v>1.395053397435855E-2</v>
      </c>
    </row>
    <row r="18" spans="1:13" x14ac:dyDescent="0.35">
      <c r="A18" s="1" t="s">
        <v>13</v>
      </c>
      <c r="B18" s="1" t="s">
        <v>25</v>
      </c>
      <c r="C18" s="1" t="s">
        <v>15</v>
      </c>
      <c r="D18" s="2">
        <v>10516000</v>
      </c>
      <c r="E18" s="1">
        <v>126.39</v>
      </c>
      <c r="F18" s="3">
        <v>0.40210000000000001</v>
      </c>
      <c r="G18" s="4">
        <v>43070</v>
      </c>
      <c r="H18" s="5">
        <v>14.98</v>
      </c>
      <c r="I18" s="7">
        <f>LN(Tab_dadosSafra[[#This Row],[Preço Açúcar NY]]/H17)</f>
        <v>-7.3162946906840916E-3</v>
      </c>
      <c r="J18" s="5">
        <f>VLOOKUP(Tab_dadosSafra[[#This Row],[Data]],[1]!Dados_Históricos___Etanol_Hidratado_Futuros[#Data],2,0)</f>
        <v>1820</v>
      </c>
      <c r="K18" s="7">
        <v>0</v>
      </c>
      <c r="L18" s="1">
        <v>3.258</v>
      </c>
      <c r="M18" s="7">
        <f>LN(Tab_dadosSafra[[#This Row],[Preço Dólar]]/L17)</f>
        <v>-1.6800979562118717E-2</v>
      </c>
    </row>
    <row r="19" spans="1:13" x14ac:dyDescent="0.35">
      <c r="A19" s="1" t="s">
        <v>13</v>
      </c>
      <c r="B19" s="1" t="s">
        <v>25</v>
      </c>
      <c r="C19" s="6" t="s">
        <v>16</v>
      </c>
      <c r="D19" s="2">
        <v>2556000</v>
      </c>
      <c r="E19" s="1">
        <v>145.74</v>
      </c>
      <c r="F19" s="3">
        <v>0.3125</v>
      </c>
      <c r="G19" s="4">
        <v>43084</v>
      </c>
      <c r="H19" s="5">
        <v>13.66</v>
      </c>
      <c r="I19" s="7">
        <f>LN(Tab_dadosSafra[[#This Row],[Preço Açúcar NY]]/H18)</f>
        <v>-9.2244123946429474E-2</v>
      </c>
      <c r="J19" s="5">
        <f>VLOOKUP(Tab_dadosSafra[[#This Row],[Data]],[1]!Dados_Históricos___Etanol_Hidratado_Futuros[#Data],2,0)</f>
        <v>1825</v>
      </c>
      <c r="K19" s="7">
        <f>LN(Tab_dadosSafra[[#This Row],[Preço Etanol B3]]/J18)</f>
        <v>2.7434859457508339E-3</v>
      </c>
      <c r="L19" s="1">
        <v>3.2946</v>
      </c>
      <c r="M19" s="7">
        <f>LN(Tab_dadosSafra[[#This Row],[Preço Dólar]]/L18)</f>
        <v>1.1171254350891438E-2</v>
      </c>
    </row>
    <row r="20" spans="1:13" x14ac:dyDescent="0.35">
      <c r="A20" s="1" t="s">
        <v>13</v>
      </c>
      <c r="B20" s="1" t="s">
        <v>26</v>
      </c>
      <c r="C20" s="6" t="s">
        <v>15</v>
      </c>
      <c r="D20" s="2">
        <v>167449.99999995343</v>
      </c>
      <c r="E20" s="5">
        <v>125</v>
      </c>
      <c r="F20" s="3">
        <v>0.3</v>
      </c>
      <c r="G20" s="4">
        <v>43102</v>
      </c>
      <c r="H20" s="5">
        <v>15.33</v>
      </c>
      <c r="I20" s="7">
        <f>LN(Tab_dadosSafra[[#This Row],[Preço Açúcar NY]]/H19)</f>
        <v>0.1153398387410787</v>
      </c>
      <c r="J20" s="5">
        <f>VLOOKUP(Tab_dadosSafra[[#This Row],[Data]],[1]!Dados_Históricos___Etanol_Hidratado_Futuros[#Data],2,0)</f>
        <v>1915</v>
      </c>
      <c r="K20" s="7">
        <f>LN(Tab_dadosSafra[[#This Row],[Preço Etanol B3]]/J19)</f>
        <v>4.8137635598154503E-2</v>
      </c>
      <c r="L20" s="1">
        <v>3.2587999999999999</v>
      </c>
      <c r="M20" s="7">
        <f>LN(Tab_dadosSafra[[#This Row],[Preço Dólar]]/L19)</f>
        <v>-1.09257350763953E-2</v>
      </c>
    </row>
    <row r="21" spans="1:13" x14ac:dyDescent="0.35">
      <c r="A21" s="1" t="s">
        <v>13</v>
      </c>
      <c r="B21" s="1" t="s">
        <v>26</v>
      </c>
      <c r="C21" s="6" t="s">
        <v>16</v>
      </c>
      <c r="D21" s="2">
        <v>421000</v>
      </c>
      <c r="E21" s="5">
        <v>115</v>
      </c>
      <c r="F21" s="3">
        <v>0.2</v>
      </c>
      <c r="G21" s="4">
        <v>43116</v>
      </c>
      <c r="H21" s="5">
        <v>13.59</v>
      </c>
      <c r="I21" s="7">
        <f>LN(Tab_dadosSafra[[#This Row],[Preço Açúcar NY]]/H20)</f>
        <v>-0.1204774647206704</v>
      </c>
      <c r="J21" s="5">
        <f>VLOOKUP(Tab_dadosSafra[[#This Row],[Data]],[1]!Dados_Históricos___Etanol_Hidratado_Futuros[#Data],2,0)</f>
        <v>1930</v>
      </c>
      <c r="K21" s="7">
        <f>LN(Tab_dadosSafra[[#This Row],[Preço Etanol B3]]/J20)</f>
        <v>7.8023802841848001E-3</v>
      </c>
      <c r="L21" s="1">
        <v>3.2242000000000002</v>
      </c>
      <c r="M21" s="7">
        <f>LN(Tab_dadosSafra[[#This Row],[Preço Dólar]]/L20)</f>
        <v>-1.067417199458847E-2</v>
      </c>
    </row>
    <row r="22" spans="1:13" x14ac:dyDescent="0.35">
      <c r="A22" s="1" t="s">
        <v>13</v>
      </c>
      <c r="B22" s="1" t="s">
        <v>27</v>
      </c>
      <c r="C22" s="1" t="s">
        <v>15</v>
      </c>
      <c r="D22" s="2">
        <v>574000</v>
      </c>
      <c r="E22" s="1">
        <v>100.87</v>
      </c>
      <c r="F22" s="3">
        <v>8.3799999999999999E-2</v>
      </c>
      <c r="G22" s="4">
        <v>43132</v>
      </c>
      <c r="H22" s="5">
        <v>13.37</v>
      </c>
      <c r="I22" s="7">
        <f>LN(Tab_dadosSafra[[#This Row],[Preço Açúcar NY]]/H21)</f>
        <v>-1.6320837049200541E-2</v>
      </c>
      <c r="J22" s="5">
        <f>VLOOKUP(Tab_dadosSafra[[#This Row],[Data]],[1]!Dados_Históricos___Etanol_Hidratado_Futuros[#Data],2,0)</f>
        <v>1942.5</v>
      </c>
      <c r="K22" s="7">
        <f>LN(Tab_dadosSafra[[#This Row],[Preço Etanol B3]]/J21)</f>
        <v>6.4558003428712932E-3</v>
      </c>
      <c r="L22" s="1">
        <v>3.1667999999999998</v>
      </c>
      <c r="M22" s="7">
        <f>LN(Tab_dadosSafra[[#This Row],[Preço Dólar]]/L21)</f>
        <v>-1.7963243144619546E-2</v>
      </c>
    </row>
    <row r="23" spans="1:13" x14ac:dyDescent="0.35">
      <c r="A23" s="1" t="s">
        <v>13</v>
      </c>
      <c r="B23" s="1" t="s">
        <v>27</v>
      </c>
      <c r="C23" s="6" t="s">
        <v>16</v>
      </c>
      <c r="D23" s="2">
        <v>731000</v>
      </c>
      <c r="E23" s="1">
        <v>102.03</v>
      </c>
      <c r="F23" s="3">
        <v>7.0599999999999996E-2</v>
      </c>
      <c r="G23" s="4">
        <v>43146</v>
      </c>
      <c r="H23" s="5">
        <v>13.62</v>
      </c>
      <c r="I23" s="7">
        <f>LN(Tab_dadosSafra[[#This Row],[Preço Açúcar NY]]/H22)</f>
        <v>1.852590960751448E-2</v>
      </c>
      <c r="J23" s="5">
        <f>VLOOKUP(Tab_dadosSafra[[#This Row],[Data]],[1]!Dados_Históricos___Etanol_Hidratado_Futuros[#Data],2,0)</f>
        <v>1940</v>
      </c>
      <c r="K23" s="7">
        <f>LN(Tab_dadosSafra[[#This Row],[Preço Etanol B3]]/J22)</f>
        <v>-1.2878301844287249E-3</v>
      </c>
      <c r="L23" s="1">
        <v>3.2273999999999998</v>
      </c>
      <c r="M23" s="7">
        <f>LN(Tab_dadosSafra[[#This Row],[Preço Dólar]]/L22)</f>
        <v>1.8955245209973291E-2</v>
      </c>
    </row>
    <row r="24" spans="1:13" x14ac:dyDescent="0.35">
      <c r="A24" s="1" t="s">
        <v>13</v>
      </c>
      <c r="B24" s="1" t="s">
        <v>28</v>
      </c>
      <c r="C24" s="6" t="s">
        <v>15</v>
      </c>
      <c r="D24" s="2">
        <v>3335000</v>
      </c>
      <c r="E24" s="1">
        <v>89.42</v>
      </c>
      <c r="F24" s="3">
        <v>0.16489999999999999</v>
      </c>
      <c r="G24" s="4">
        <v>43160</v>
      </c>
      <c r="H24" s="5">
        <v>13.71</v>
      </c>
      <c r="I24" s="7">
        <f>LN(Tab_dadosSafra[[#This Row],[Preço Açúcar NY]]/H23)</f>
        <v>6.5861928528568757E-3</v>
      </c>
      <c r="J24" s="5">
        <f>VLOOKUP(Tab_dadosSafra[[#This Row],[Data]],[1]!Dados_Históricos___Etanol_Hidratado_Futuros[#Data],2,0)</f>
        <v>1950</v>
      </c>
      <c r="K24" s="7">
        <f>LN(Tab_dadosSafra[[#This Row],[Preço Etanol B3]]/J23)</f>
        <v>5.1413995004186523E-3</v>
      </c>
      <c r="L24" s="1">
        <v>3.2511000000000001</v>
      </c>
      <c r="M24" s="7">
        <f>LN(Tab_dadosSafra[[#This Row],[Preço Dólar]]/L23)</f>
        <v>7.3165410898073545E-3</v>
      </c>
    </row>
    <row r="25" spans="1:13" x14ac:dyDescent="0.35">
      <c r="A25" s="1" t="s">
        <v>13</v>
      </c>
      <c r="B25" s="1" t="s">
        <v>28</v>
      </c>
      <c r="C25" s="6" t="s">
        <v>16</v>
      </c>
      <c r="D25" s="2">
        <v>7758000</v>
      </c>
      <c r="E25" s="1">
        <v>109.05</v>
      </c>
      <c r="F25" s="3">
        <v>0.21479999999999999</v>
      </c>
      <c r="G25" s="4">
        <v>43174</v>
      </c>
      <c r="H25" s="5">
        <v>12.74</v>
      </c>
      <c r="I25" s="7">
        <f>LN(Tab_dadosSafra[[#This Row],[Preço Açúcar NY]]/H24)</f>
        <v>-7.3378843430205745E-2</v>
      </c>
      <c r="J25" s="5">
        <f>VLOOKUP(Tab_dadosSafra[[#This Row],[Data]],[1]!Dados_Históricos___Etanol_Hidratado_Futuros[#Data],2,0)</f>
        <v>1965</v>
      </c>
      <c r="K25" s="7">
        <f>LN(Tab_dadosSafra[[#This Row],[Preço Etanol B3]]/J24)</f>
        <v>7.6628727455690972E-3</v>
      </c>
      <c r="L25" s="1">
        <v>3.2848999999999999</v>
      </c>
      <c r="M25" s="7">
        <f>LN(Tab_dadosSafra[[#This Row],[Preço Dólar]]/L24)</f>
        <v>1.0342809457998276E-2</v>
      </c>
    </row>
    <row r="26" spans="1:13" x14ac:dyDescent="0.35">
      <c r="A26" s="1" t="s">
        <v>29</v>
      </c>
      <c r="B26" s="1" t="s">
        <v>14</v>
      </c>
      <c r="C26" s="1" t="s">
        <v>15</v>
      </c>
      <c r="D26" s="2">
        <v>22360000</v>
      </c>
      <c r="E26" s="1">
        <v>107.07</v>
      </c>
      <c r="F26" s="3">
        <v>0.315</v>
      </c>
      <c r="G26" s="4">
        <v>43192</v>
      </c>
      <c r="H26" s="5">
        <v>12.52</v>
      </c>
      <c r="I26" s="7">
        <f>LN(Tab_dadosSafra[[#This Row],[Preço Açúcar NY]]/H25)</f>
        <v>-1.7419284472064821E-2</v>
      </c>
      <c r="J26" s="5">
        <f>VLOOKUP(Tab_dadosSafra[[#This Row],[Data]],[1]!Dados_Históricos___Etanol_Hidratado_Futuros[#Data],2,0)</f>
        <v>1645</v>
      </c>
      <c r="K26" s="7">
        <f>LN(Tab_dadosSafra[[#This Row],[Preço Etanol B3]]/J25)</f>
        <v>-0.17775186110388935</v>
      </c>
      <c r="L26" s="1">
        <v>3.3098999999999998</v>
      </c>
      <c r="M26" s="7">
        <f>LN(Tab_dadosSafra[[#This Row],[Preço Dólar]]/L25)</f>
        <v>7.5817673793123564E-3</v>
      </c>
    </row>
    <row r="27" spans="1:13" x14ac:dyDescent="0.35">
      <c r="A27" s="1" t="s">
        <v>29</v>
      </c>
      <c r="B27" s="1" t="s">
        <v>14</v>
      </c>
      <c r="C27" s="6" t="s">
        <v>16</v>
      </c>
      <c r="D27" s="2">
        <v>37810000</v>
      </c>
      <c r="E27" s="1">
        <v>118.85</v>
      </c>
      <c r="F27" s="3">
        <v>0.35780000000000001</v>
      </c>
      <c r="G27" s="4">
        <v>43206</v>
      </c>
      <c r="H27" s="5">
        <v>11.98</v>
      </c>
      <c r="I27" s="7">
        <f>LN(Tab_dadosSafra[[#This Row],[Preço Açúcar NY]]/H26)</f>
        <v>-4.4088772984649124E-2</v>
      </c>
      <c r="J27" s="5">
        <f>VLOOKUP(Tab_dadosSafra[[#This Row],[Data]],[1]!Dados_Históricos___Etanol_Hidratado_Futuros[#Data],2,0)</f>
        <v>1560</v>
      </c>
      <c r="K27" s="7">
        <f>LN(Tab_dadosSafra[[#This Row],[Preço Etanol B3]]/J26)</f>
        <v>-5.3054562955889513E-2</v>
      </c>
      <c r="L27" s="1">
        <v>3.4190999999999998</v>
      </c>
      <c r="M27" s="7">
        <f>LN(Tab_dadosSafra[[#This Row],[Preço Dólar]]/L26)</f>
        <v>3.2459381095429209E-2</v>
      </c>
    </row>
    <row r="28" spans="1:13" x14ac:dyDescent="0.35">
      <c r="A28" s="1" t="s">
        <v>29</v>
      </c>
      <c r="B28" s="1" t="s">
        <v>17</v>
      </c>
      <c r="C28" s="6" t="s">
        <v>15</v>
      </c>
      <c r="D28" s="2">
        <v>42800000</v>
      </c>
      <c r="E28" s="1">
        <v>128.26</v>
      </c>
      <c r="F28" s="3">
        <v>0.36580000000000001</v>
      </c>
      <c r="G28" s="4">
        <v>43221</v>
      </c>
      <c r="H28" s="5">
        <v>11.69</v>
      </c>
      <c r="I28" s="7">
        <f>LN(Tab_dadosSafra[[#This Row],[Preço Açúcar NY]]/H27)</f>
        <v>-2.4504817203326375E-2</v>
      </c>
      <c r="J28" s="5">
        <v>0</v>
      </c>
      <c r="K28" s="7">
        <v>0</v>
      </c>
      <c r="L28" s="1">
        <v>3.5070999999999999</v>
      </c>
      <c r="M28" s="7">
        <f>LN(Tab_dadosSafra[[#This Row],[Preço Dólar]]/L27)</f>
        <v>2.5412126603622919E-2</v>
      </c>
    </row>
    <row r="29" spans="1:13" x14ac:dyDescent="0.35">
      <c r="A29" s="1" t="s">
        <v>29</v>
      </c>
      <c r="B29" s="1" t="s">
        <v>17</v>
      </c>
      <c r="C29" s="6" t="s">
        <v>16</v>
      </c>
      <c r="D29" s="2">
        <v>32610000</v>
      </c>
      <c r="E29" s="1">
        <v>133.44</v>
      </c>
      <c r="F29" s="3">
        <v>0.32540000000000002</v>
      </c>
      <c r="G29" s="4">
        <v>43235</v>
      </c>
      <c r="H29" s="5">
        <v>11.52</v>
      </c>
      <c r="I29" s="7">
        <f>LN(Tab_dadosSafra[[#This Row],[Preço Açúcar NY]]/H28)</f>
        <v>-1.4649120216231883E-2</v>
      </c>
      <c r="J29" s="5">
        <f>VLOOKUP(Tab_dadosSafra[[#This Row],[Data]],[1]!Dados_Históricos___Etanol_Hidratado_Futuros[#Data],2,0)</f>
        <v>1675</v>
      </c>
      <c r="K29" s="7">
        <v>0</v>
      </c>
      <c r="L29" s="1">
        <v>3.653</v>
      </c>
      <c r="M29" s="7">
        <f>LN(Tab_dadosSafra[[#This Row],[Preço Dólar]]/L28)</f>
        <v>4.0759262661860252E-2</v>
      </c>
    </row>
    <row r="30" spans="1:13" x14ac:dyDescent="0.35">
      <c r="A30" s="1" t="s">
        <v>29</v>
      </c>
      <c r="B30" s="1" t="s">
        <v>18</v>
      </c>
      <c r="C30" s="1" t="s">
        <v>15</v>
      </c>
      <c r="D30" s="2">
        <v>42550000</v>
      </c>
      <c r="E30" s="1">
        <v>135.44999999999999</v>
      </c>
      <c r="F30" s="3">
        <v>0.36470000000000002</v>
      </c>
      <c r="G30" s="4">
        <v>43252</v>
      </c>
      <c r="H30" s="5">
        <v>12.52</v>
      </c>
      <c r="I30" s="7">
        <f>LN(Tab_dadosSafra[[#This Row],[Preço Açúcar NY]]/H29)</f>
        <v>8.3242710404207304E-2</v>
      </c>
      <c r="J30" s="5">
        <v>0</v>
      </c>
      <c r="K30" s="7">
        <v>0</v>
      </c>
      <c r="L30" s="1">
        <v>3.7629999999999999</v>
      </c>
      <c r="M30" s="7">
        <f>LN(Tab_dadosSafra[[#This Row],[Preço Dólar]]/L29)</f>
        <v>2.9667763798154775E-2</v>
      </c>
    </row>
    <row r="31" spans="1:13" x14ac:dyDescent="0.35">
      <c r="A31" s="1" t="s">
        <v>29</v>
      </c>
      <c r="B31" s="1" t="s">
        <v>18</v>
      </c>
      <c r="C31" s="6" t="s">
        <v>16</v>
      </c>
      <c r="D31" s="2">
        <v>45460000</v>
      </c>
      <c r="E31" s="1">
        <v>140.06</v>
      </c>
      <c r="F31" s="3">
        <v>0.37669999999999998</v>
      </c>
      <c r="G31" s="4">
        <v>43266</v>
      </c>
      <c r="H31" s="5">
        <v>12.02</v>
      </c>
      <c r="I31" s="7">
        <f>LN(Tab_dadosSafra[[#This Row],[Preço Açúcar NY]]/H30)</f>
        <v>-4.0755436564890966E-2</v>
      </c>
      <c r="J31" s="5">
        <f>VLOOKUP(Tab_dadosSafra[[#This Row],[Data]],[1]!Dados_Históricos___Etanol_Hidratado_Futuros[#Data],2,0)</f>
        <v>1697.5</v>
      </c>
      <c r="K31" s="7">
        <v>0</v>
      </c>
      <c r="L31" s="1">
        <v>3.7294</v>
      </c>
      <c r="M31" s="7">
        <f>LN(Tab_dadosSafra[[#This Row],[Preço Dólar]]/L30)</f>
        <v>-8.969148803444205E-3</v>
      </c>
    </row>
    <row r="32" spans="1:13" x14ac:dyDescent="0.35">
      <c r="A32" s="1" t="s">
        <v>29</v>
      </c>
      <c r="B32" s="1" t="s">
        <v>19</v>
      </c>
      <c r="C32" s="6" t="s">
        <v>15</v>
      </c>
      <c r="D32" s="2">
        <v>45180000</v>
      </c>
      <c r="E32" s="1">
        <v>145.47</v>
      </c>
      <c r="F32" s="3">
        <v>0.38400000000000001</v>
      </c>
      <c r="G32" s="4">
        <v>43283</v>
      </c>
      <c r="H32" s="5">
        <v>11.56</v>
      </c>
      <c r="I32" s="7">
        <f>LN(Tab_dadosSafra[[#This Row],[Preço Açúcar NY]]/H31)</f>
        <v>-3.9021065862830072E-2</v>
      </c>
      <c r="J32" s="5">
        <f>VLOOKUP(Tab_dadosSafra[[#This Row],[Data]],[1]!Dados_Históricos___Etanol_Hidratado_Futuros[#Data],2,0)</f>
        <v>1610</v>
      </c>
      <c r="K32" s="7">
        <f>LN(Tab_dadosSafra[[#This Row],[Preço Etanol B3]]/J31)</f>
        <v>-5.2922401454342551E-2</v>
      </c>
      <c r="L32" s="1">
        <v>3.9117000000000002</v>
      </c>
      <c r="M32" s="7">
        <f>LN(Tab_dadosSafra[[#This Row],[Preço Dólar]]/L31)</f>
        <v>4.7724699307543278E-2</v>
      </c>
    </row>
    <row r="33" spans="1:13" x14ac:dyDescent="0.35">
      <c r="A33" s="1" t="s">
        <v>29</v>
      </c>
      <c r="B33" s="1" t="s">
        <v>19</v>
      </c>
      <c r="C33" s="6" t="s">
        <v>16</v>
      </c>
      <c r="D33" s="2">
        <v>47640000</v>
      </c>
      <c r="E33" s="1">
        <v>150.63999999999999</v>
      </c>
      <c r="F33" s="3">
        <v>0.38469999999999999</v>
      </c>
      <c r="G33" s="4">
        <v>43297</v>
      </c>
      <c r="H33" s="5">
        <v>11.14</v>
      </c>
      <c r="I33" s="7">
        <f>LN(Tab_dadosSafra[[#This Row],[Preço Açúcar NY]]/H32)</f>
        <v>-3.7008628745093447E-2</v>
      </c>
      <c r="J33" s="5">
        <f>VLOOKUP(Tab_dadosSafra[[#This Row],[Data]],[1]!Dados_Históricos___Etanol_Hidratado_Futuros[#Data],2,0)</f>
        <v>1525</v>
      </c>
      <c r="K33" s="7">
        <f>LN(Tab_dadosSafra[[#This Row],[Preço Etanol B3]]/J32)</f>
        <v>-5.4239768936996731E-2</v>
      </c>
      <c r="L33" s="1">
        <v>3.8597000000000001</v>
      </c>
      <c r="M33" s="7">
        <f>LN(Tab_dadosSafra[[#This Row],[Preço Dólar]]/L32)</f>
        <v>-1.3382601866285409E-2</v>
      </c>
    </row>
    <row r="34" spans="1:13" x14ac:dyDescent="0.35">
      <c r="A34" s="1" t="s">
        <v>29</v>
      </c>
      <c r="B34" s="1" t="s">
        <v>20</v>
      </c>
      <c r="C34" s="1" t="s">
        <v>15</v>
      </c>
      <c r="D34" s="2">
        <v>33662000</v>
      </c>
      <c r="E34" s="1">
        <v>152.49</v>
      </c>
      <c r="F34" s="3">
        <v>0.35170000000000001</v>
      </c>
      <c r="G34" s="4">
        <v>43313</v>
      </c>
      <c r="H34" s="5">
        <v>10.48</v>
      </c>
      <c r="I34" s="7">
        <f>LN(Tab_dadosSafra[[#This Row],[Preço Açúcar NY]]/H33)</f>
        <v>-6.1073555606241905E-2</v>
      </c>
      <c r="J34" s="5">
        <f>VLOOKUP(Tab_dadosSafra[[#This Row],[Data]],[1]!Dados_Históricos___Etanol_Hidratado_Futuros[#Data],2,0)</f>
        <v>1460</v>
      </c>
      <c r="K34" s="7">
        <f>LN(Tab_dadosSafra[[#This Row],[Preço Etanol B3]]/J33)</f>
        <v>-4.3557974339129904E-2</v>
      </c>
      <c r="L34" s="1">
        <v>3.7492000000000001</v>
      </c>
      <c r="M34" s="7">
        <f>LN(Tab_dadosSafra[[#This Row],[Preço Dólar]]/L33)</f>
        <v>-2.9046976358920069E-2</v>
      </c>
    </row>
    <row r="35" spans="1:13" x14ac:dyDescent="0.35">
      <c r="A35" s="1" t="s">
        <v>29</v>
      </c>
      <c r="B35" s="1" t="s">
        <v>20</v>
      </c>
      <c r="C35" s="6" t="s">
        <v>16</v>
      </c>
      <c r="D35" s="2">
        <v>43470000</v>
      </c>
      <c r="E35" s="1">
        <v>152.66</v>
      </c>
      <c r="F35" s="3">
        <v>0.37640000000000001</v>
      </c>
      <c r="G35" s="4">
        <v>43327</v>
      </c>
      <c r="H35" s="5">
        <v>10.23</v>
      </c>
      <c r="I35" s="7">
        <f>LN(Tab_dadosSafra[[#This Row],[Preço Açúcar NY]]/H34)</f>
        <v>-2.4144098929360959E-2</v>
      </c>
      <c r="J35" s="5">
        <f>VLOOKUP(Tab_dadosSafra[[#This Row],[Data]],[1]!Dados_Históricos___Etanol_Hidratado_Futuros[#Data],2,0)</f>
        <v>1455</v>
      </c>
      <c r="K35" s="7">
        <f>LN(Tab_dadosSafra[[#This Row],[Preço Etanol B3]]/J34)</f>
        <v>-3.4305350967892482E-3</v>
      </c>
      <c r="L35" s="1">
        <v>3.9053</v>
      </c>
      <c r="M35" s="7">
        <f>LN(Tab_dadosSafra[[#This Row],[Preço Dólar]]/L34)</f>
        <v>4.0792121034465209E-2</v>
      </c>
    </row>
    <row r="36" spans="1:13" x14ac:dyDescent="0.35">
      <c r="A36" s="1" t="s">
        <v>29</v>
      </c>
      <c r="B36" s="1" t="s">
        <v>21</v>
      </c>
      <c r="C36" s="6" t="s">
        <v>15</v>
      </c>
      <c r="D36" s="2">
        <v>38730000</v>
      </c>
      <c r="E36" s="1">
        <v>156.97</v>
      </c>
      <c r="F36" s="3">
        <v>0.37269999999999998</v>
      </c>
      <c r="G36" s="4">
        <v>43347</v>
      </c>
      <c r="H36" s="5">
        <v>10.64</v>
      </c>
      <c r="I36" s="7">
        <f>LN(Tab_dadosSafra[[#This Row],[Preço Açúcar NY]]/H35)</f>
        <v>3.9295903949963178E-2</v>
      </c>
      <c r="J36" s="5">
        <f>VLOOKUP(Tab_dadosSafra[[#This Row],[Data]],[1]!Dados_Históricos___Etanol_Hidratado_Futuros[#Data],2,0)</f>
        <v>1735</v>
      </c>
      <c r="K36" s="7">
        <f>LN(Tab_dadosSafra[[#This Row],[Preço Etanol B3]]/J35)</f>
        <v>0.17600151277536666</v>
      </c>
      <c r="L36" s="1">
        <v>4.16</v>
      </c>
      <c r="M36" s="7">
        <f>LN(Tab_dadosSafra[[#This Row],[Preço Dólar]]/L35)</f>
        <v>6.3180469348512958E-2</v>
      </c>
    </row>
    <row r="37" spans="1:13" x14ac:dyDescent="0.35">
      <c r="A37" s="1" t="s">
        <v>29</v>
      </c>
      <c r="B37" s="1" t="s">
        <v>22</v>
      </c>
      <c r="C37" s="6" t="s">
        <v>16</v>
      </c>
      <c r="D37" s="2">
        <v>27800000</v>
      </c>
      <c r="E37" s="1">
        <v>147.61000000000001</v>
      </c>
      <c r="F37" s="3">
        <v>0.33079999999999998</v>
      </c>
      <c r="G37" s="4">
        <v>43357</v>
      </c>
      <c r="H37" s="5">
        <v>11.16</v>
      </c>
      <c r="I37" s="7">
        <f>LN(Tab_dadosSafra[[#This Row],[Preço Açúcar NY]]/H36)</f>
        <v>4.7715473039666577E-2</v>
      </c>
      <c r="J37" s="5">
        <f>VLOOKUP(Tab_dadosSafra[[#This Row],[Data]],[1]!Dados_Históricos___Etanol_Hidratado_Futuros[#Data],2,0)</f>
        <v>1752.5</v>
      </c>
      <c r="K37" s="7">
        <f>LN(Tab_dadosSafra[[#This Row],[Preço Etanol B3]]/J36)</f>
        <v>1.0035926527785654E-2</v>
      </c>
      <c r="L37" s="1">
        <v>4.1738999999999997</v>
      </c>
      <c r="M37" s="7">
        <f>LN(Tab_dadosSafra[[#This Row],[Preço Dólar]]/L36)</f>
        <v>3.3357762606317262E-3</v>
      </c>
    </row>
    <row r="38" spans="1:13" x14ac:dyDescent="0.35">
      <c r="A38" s="1" t="s">
        <v>29</v>
      </c>
      <c r="B38" s="1" t="s">
        <v>23</v>
      </c>
      <c r="C38" s="1" t="s">
        <v>15</v>
      </c>
      <c r="D38" s="2">
        <v>25588000</v>
      </c>
      <c r="E38" s="1">
        <v>142.51</v>
      </c>
      <c r="F38" s="3">
        <v>0.32169999999999999</v>
      </c>
      <c r="G38" s="4">
        <v>43374</v>
      </c>
      <c r="H38" s="5">
        <v>11.61</v>
      </c>
      <c r="I38" s="7">
        <f>LN(Tab_dadosSafra[[#This Row],[Preço Açúcar NY]]/H37)</f>
        <v>3.9530838756635218E-2</v>
      </c>
      <c r="J38" s="5">
        <f>VLOOKUP(Tab_dadosSafra[[#This Row],[Data]],[1]!Dados_Históricos___Etanol_Hidratado_Futuros[#Data],2,0)</f>
        <v>1852.5</v>
      </c>
      <c r="K38" s="7">
        <f>LN(Tab_dadosSafra[[#This Row],[Preço Etanol B3]]/J37)</f>
        <v>5.5492738261496831E-2</v>
      </c>
      <c r="L38" s="1">
        <v>4.0175999999999998</v>
      </c>
      <c r="M38" s="7">
        <f>LN(Tab_dadosSafra[[#This Row],[Preço Dólar]]/L37)</f>
        <v>-3.8166141112620233E-2</v>
      </c>
    </row>
    <row r="39" spans="1:13" x14ac:dyDescent="0.35">
      <c r="A39" s="1" t="s">
        <v>29</v>
      </c>
      <c r="B39" s="1" t="s">
        <v>23</v>
      </c>
      <c r="C39" s="6" t="s">
        <v>16</v>
      </c>
      <c r="D39" s="2">
        <v>24970000</v>
      </c>
      <c r="E39" s="1">
        <v>133.96</v>
      </c>
      <c r="F39" s="3">
        <v>0.30180000000000001</v>
      </c>
      <c r="G39" s="4">
        <v>43388</v>
      </c>
      <c r="H39" s="5">
        <v>13.43</v>
      </c>
      <c r="I39" s="7">
        <f>LN(Tab_dadosSafra[[#This Row],[Preço Açúcar NY]]/H38)</f>
        <v>0.14562421482534604</v>
      </c>
      <c r="J39" s="5">
        <f>VLOOKUP(Tab_dadosSafra[[#This Row],[Data]],[1]!Dados_Históricos___Etanol_Hidratado_Futuros[#Data],2,0)</f>
        <v>1870</v>
      </c>
      <c r="K39" s="7">
        <f>LN(Tab_dadosSafra[[#This Row],[Preço Etanol B3]]/J38)</f>
        <v>9.4023526783903345E-3</v>
      </c>
      <c r="L39" s="1">
        <v>3.7355</v>
      </c>
      <c r="M39" s="7">
        <f>LN(Tab_dadosSafra[[#This Row],[Preço Dólar]]/L38)</f>
        <v>-7.2803030987464545E-2</v>
      </c>
    </row>
    <row r="40" spans="1:13" x14ac:dyDescent="0.35">
      <c r="A40" s="1" t="s">
        <v>29</v>
      </c>
      <c r="B40" s="1" t="s">
        <v>24</v>
      </c>
      <c r="C40" s="6" t="s">
        <v>15</v>
      </c>
      <c r="D40" s="2">
        <v>21460000</v>
      </c>
      <c r="E40" s="1">
        <v>127.4</v>
      </c>
      <c r="F40" s="3">
        <v>0.34029999999999999</v>
      </c>
      <c r="G40" s="4">
        <v>43405</v>
      </c>
      <c r="H40" s="5">
        <v>13.19</v>
      </c>
      <c r="I40" s="7">
        <f>LN(Tab_dadosSafra[[#This Row],[Preço Açúcar NY]]/H39)</f>
        <v>-1.8032043805922941E-2</v>
      </c>
      <c r="J40" s="5">
        <f>VLOOKUP(Tab_dadosSafra[[#This Row],[Data]],[1]!Dados_Históricos___Etanol_Hidratado_Futuros[#Data],2,0)</f>
        <v>1770</v>
      </c>
      <c r="K40" s="7">
        <f>LN(Tab_dadosSafra[[#This Row],[Preço Etanol B3]]/J39)</f>
        <v>-5.4958884280757472E-2</v>
      </c>
      <c r="L40" s="1">
        <v>3.7</v>
      </c>
      <c r="M40" s="7">
        <f>LN(Tab_dadosSafra[[#This Row],[Preço Dólar]]/L39)</f>
        <v>-9.5488587835401185E-3</v>
      </c>
    </row>
    <row r="41" spans="1:13" x14ac:dyDescent="0.35">
      <c r="A41" s="1" t="s">
        <v>29</v>
      </c>
      <c r="B41" s="1" t="s">
        <v>24</v>
      </c>
      <c r="C41" s="6" t="s">
        <v>16</v>
      </c>
      <c r="D41" s="2">
        <v>14650000</v>
      </c>
      <c r="E41" s="1">
        <v>120.62</v>
      </c>
      <c r="F41" s="3">
        <v>0.315</v>
      </c>
      <c r="G41" s="4">
        <v>43419</v>
      </c>
      <c r="H41" s="5">
        <v>12.65</v>
      </c>
      <c r="I41" s="7">
        <f>LN(Tab_dadosSafra[[#This Row],[Preço Açúcar NY]]/H40)</f>
        <v>-4.1801751555693906E-2</v>
      </c>
      <c r="J41" s="5">
        <v>0</v>
      </c>
      <c r="K41" s="7">
        <v>0</v>
      </c>
      <c r="L41" s="1">
        <v>3.7839999999999998</v>
      </c>
      <c r="M41" s="7">
        <f>LN(Tab_dadosSafra[[#This Row],[Preço Dólar]]/L40)</f>
        <v>2.2448831539453075E-2</v>
      </c>
    </row>
    <row r="42" spans="1:13" x14ac:dyDescent="0.35">
      <c r="A42" s="1" t="s">
        <v>29</v>
      </c>
      <c r="B42" s="1" t="s">
        <v>25</v>
      </c>
      <c r="C42" s="1" t="s">
        <v>15</v>
      </c>
      <c r="D42" s="2">
        <v>12894000</v>
      </c>
      <c r="E42" s="1">
        <v>121.13</v>
      </c>
      <c r="F42" s="3">
        <v>0.28349999999999997</v>
      </c>
      <c r="G42" s="4">
        <v>43437</v>
      </c>
      <c r="H42" s="5">
        <v>12.91</v>
      </c>
      <c r="I42" s="7">
        <f>LN(Tab_dadosSafra[[#This Row],[Preço Açúcar NY]]/H41)</f>
        <v>2.0344989685021773E-2</v>
      </c>
      <c r="J42" s="5">
        <f>VLOOKUP(Tab_dadosSafra[[#This Row],[Data]],[1]!Dados_Históricos___Etanol_Hidratado_Futuros[#Data],2,0)</f>
        <v>1712.5</v>
      </c>
      <c r="K42" s="7">
        <v>0</v>
      </c>
      <c r="L42" s="1">
        <v>3.8408000000000002</v>
      </c>
      <c r="M42" s="7">
        <f>LN(Tab_dadosSafra[[#This Row],[Preço Dólar]]/L41)</f>
        <v>1.4899027044961891E-2</v>
      </c>
    </row>
    <row r="43" spans="1:13" x14ac:dyDescent="0.35">
      <c r="A43" s="1" t="s">
        <v>29</v>
      </c>
      <c r="B43" s="1" t="s">
        <v>25</v>
      </c>
      <c r="C43" s="6" t="s">
        <v>16</v>
      </c>
      <c r="D43" s="2">
        <v>2540000</v>
      </c>
      <c r="E43" s="1">
        <v>144.11000000000001</v>
      </c>
      <c r="F43" s="3">
        <v>0.2165</v>
      </c>
      <c r="G43" s="4">
        <v>43448</v>
      </c>
      <c r="H43" s="5">
        <v>12.65</v>
      </c>
      <c r="I43" s="7">
        <f>LN(Tab_dadosSafra[[#This Row],[Preço Açúcar NY]]/H42)</f>
        <v>-2.0344989685021884E-2</v>
      </c>
      <c r="J43" s="5">
        <v>0</v>
      </c>
      <c r="K43" s="7">
        <v>0</v>
      </c>
      <c r="L43" s="1">
        <v>3.9169999999999998</v>
      </c>
      <c r="M43" s="7">
        <f>LN(Tab_dadosSafra[[#This Row],[Preço Dólar]]/L42)</f>
        <v>1.96453764491007E-2</v>
      </c>
    </row>
    <row r="44" spans="1:13" x14ac:dyDescent="0.35">
      <c r="A44" s="1" t="s">
        <v>29</v>
      </c>
      <c r="B44" s="1" t="s">
        <v>26</v>
      </c>
      <c r="C44" s="6" t="s">
        <v>15</v>
      </c>
      <c r="D44" s="2">
        <v>560000</v>
      </c>
      <c r="E44" s="1">
        <v>103.53</v>
      </c>
      <c r="F44" s="3">
        <v>0.21890000000000001</v>
      </c>
      <c r="G44" s="4">
        <v>43467</v>
      </c>
      <c r="H44" s="5">
        <v>11.93</v>
      </c>
      <c r="I44" s="7">
        <f>LN(Tab_dadosSafra[[#This Row],[Preço Açúcar NY]]/H43)</f>
        <v>-5.8600979063704504E-2</v>
      </c>
      <c r="J44" s="5">
        <f>VLOOKUP(Tab_dadosSafra[[#This Row],[Data]],[1]!Dados_Históricos___Etanol_Hidratado_Futuros[#Data],2,0)</f>
        <v>1730</v>
      </c>
      <c r="K44" s="7">
        <v>0</v>
      </c>
      <c r="L44" s="1">
        <v>3.7896999999999998</v>
      </c>
      <c r="M44" s="7">
        <f>LN(Tab_dadosSafra[[#This Row],[Preço Dólar]]/L43)</f>
        <v>-3.3039194395158129E-2</v>
      </c>
    </row>
    <row r="45" spans="1:13" x14ac:dyDescent="0.35">
      <c r="A45" s="1" t="s">
        <v>29</v>
      </c>
      <c r="B45" s="1" t="s">
        <v>26</v>
      </c>
      <c r="C45" s="6" t="s">
        <v>16</v>
      </c>
      <c r="D45" s="2">
        <v>563000</v>
      </c>
      <c r="E45" s="1">
        <v>111.36</v>
      </c>
      <c r="F45" s="3">
        <v>8.9599999999999999E-2</v>
      </c>
      <c r="G45" s="4">
        <v>43480</v>
      </c>
      <c r="H45" s="5">
        <v>13.16</v>
      </c>
      <c r="I45" s="7">
        <f>LN(Tab_dadosSafra[[#This Row],[Preço Açúcar NY]]/H44)</f>
        <v>9.8125689787346468E-2</v>
      </c>
      <c r="J45" s="5">
        <f>VLOOKUP(Tab_dadosSafra[[#This Row],[Data]],[1]!Dados_Históricos___Etanol_Hidratado_Futuros[#Data],2,0)</f>
        <v>1652.5</v>
      </c>
      <c r="K45" s="7">
        <f>LN(Tab_dadosSafra[[#This Row],[Preço Etanol B3]]/J44)</f>
        <v>-4.5832115765983297E-2</v>
      </c>
      <c r="L45" s="1">
        <v>3.7166999999999999</v>
      </c>
      <c r="M45" s="7">
        <f>LN(Tab_dadosSafra[[#This Row],[Preço Dólar]]/L44)</f>
        <v>-1.9450682480870292E-2</v>
      </c>
    </row>
    <row r="46" spans="1:13" x14ac:dyDescent="0.35">
      <c r="A46" s="1" t="s">
        <v>29</v>
      </c>
      <c r="B46" s="1" t="s">
        <v>27</v>
      </c>
      <c r="C46" s="1" t="s">
        <v>15</v>
      </c>
      <c r="D46" s="2">
        <v>280000</v>
      </c>
      <c r="E46" s="1">
        <v>133.75</v>
      </c>
      <c r="F46" s="3">
        <v>4.6199999999999998E-2</v>
      </c>
      <c r="G46" s="4">
        <v>43497</v>
      </c>
      <c r="H46" s="5">
        <v>12.6</v>
      </c>
      <c r="I46" s="7">
        <f>LN(Tab_dadosSafra[[#This Row],[Preço Açúcar NY]]/H45)</f>
        <v>-4.3485111939738891E-2</v>
      </c>
      <c r="J46" s="5">
        <v>0</v>
      </c>
      <c r="K46" s="7">
        <v>0</v>
      </c>
      <c r="L46" s="1">
        <v>3.6596000000000002</v>
      </c>
      <c r="M46" s="7">
        <f>LN(Tab_dadosSafra[[#This Row],[Preço Dólar]]/L45)</f>
        <v>-1.5482325984422635E-2</v>
      </c>
    </row>
    <row r="47" spans="1:13" x14ac:dyDescent="0.35">
      <c r="A47" s="1" t="s">
        <v>29</v>
      </c>
      <c r="B47" s="1" t="s">
        <v>27</v>
      </c>
      <c r="C47" s="6" t="s">
        <v>16</v>
      </c>
      <c r="D47" s="2">
        <v>543000</v>
      </c>
      <c r="E47" s="1">
        <v>102.76</v>
      </c>
      <c r="F47" s="3">
        <v>4.4600000000000001E-2</v>
      </c>
      <c r="G47" s="4">
        <v>43511</v>
      </c>
      <c r="H47" s="5">
        <v>13.14</v>
      </c>
      <c r="I47" s="7">
        <f>LN(Tab_dadosSafra[[#This Row],[Preço Açúcar NY]]/H46)</f>
        <v>4.1964199099032207E-2</v>
      </c>
      <c r="J47" s="5">
        <f>VLOOKUP(Tab_dadosSafra[[#This Row],[Data]],[1]!Dados_Históricos___Etanol_Hidratado_Futuros[#Data],2,0)</f>
        <v>1820</v>
      </c>
      <c r="K47" s="7">
        <v>0</v>
      </c>
      <c r="L47" s="1">
        <v>3.7006999999999999</v>
      </c>
      <c r="M47" s="7">
        <f>LN(Tab_dadosSafra[[#This Row],[Preço Dólar]]/L46)</f>
        <v>1.1168139122106882E-2</v>
      </c>
    </row>
    <row r="48" spans="1:13" x14ac:dyDescent="0.35">
      <c r="A48" s="1" t="s">
        <v>29</v>
      </c>
      <c r="B48" s="1" t="s">
        <v>28</v>
      </c>
      <c r="C48" s="6" t="s">
        <v>15</v>
      </c>
      <c r="D48" s="2">
        <v>1591000</v>
      </c>
      <c r="E48" s="1">
        <v>99</v>
      </c>
      <c r="F48" s="3">
        <v>6.0499999999999998E-2</v>
      </c>
      <c r="G48" s="4">
        <v>43525</v>
      </c>
      <c r="H48" s="5">
        <v>12.62</v>
      </c>
      <c r="I48" s="7">
        <f>LN(Tab_dadosSafra[[#This Row],[Preço Açúcar NY]]/H47)</f>
        <v>-4.037815594339747E-2</v>
      </c>
      <c r="J48" s="5">
        <f>VLOOKUP(Tab_dadosSafra[[#This Row],[Data]],[1]!Dados_Históricos___Etanol_Hidratado_Futuros[#Data],2,0)</f>
        <v>1830</v>
      </c>
      <c r="K48" s="7">
        <f>LN(Tab_dadosSafra[[#This Row],[Preço Etanol B3]]/J47)</f>
        <v>5.4794657646255705E-3</v>
      </c>
      <c r="L48" s="1">
        <v>3.7749000000000001</v>
      </c>
      <c r="M48" s="7">
        <f>LN(Tab_dadosSafra[[#This Row],[Preço Dólar]]/L47)</f>
        <v>1.9851901338544781E-2</v>
      </c>
    </row>
    <row r="49" spans="1:13" x14ac:dyDescent="0.35">
      <c r="A49" s="1" t="s">
        <v>29</v>
      </c>
      <c r="B49" s="1" t="s">
        <v>28</v>
      </c>
      <c r="C49" s="6" t="s">
        <v>16</v>
      </c>
      <c r="D49" s="2">
        <v>7026000</v>
      </c>
      <c r="E49" s="1">
        <v>100.52</v>
      </c>
      <c r="F49" s="3">
        <v>0.2041</v>
      </c>
      <c r="G49" s="4">
        <v>43539</v>
      </c>
      <c r="H49" s="5">
        <v>12.52</v>
      </c>
      <c r="I49" s="7">
        <f>LN(Tab_dadosSafra[[#This Row],[Preço Açúcar NY]]/H48)</f>
        <v>-7.9554914411146278E-3</v>
      </c>
      <c r="J49" s="5">
        <v>0</v>
      </c>
      <c r="K49" s="7">
        <v>0</v>
      </c>
      <c r="L49" s="1">
        <v>3.8130999999999999</v>
      </c>
      <c r="M49" s="7">
        <f>LN(Tab_dadosSafra[[#This Row],[Preço Dólar]]/L48)</f>
        <v>1.0068614316346798E-2</v>
      </c>
    </row>
    <row r="50" spans="1:13" x14ac:dyDescent="0.35">
      <c r="A50" s="1" t="s">
        <v>30</v>
      </c>
      <c r="B50" s="1" t="s">
        <v>14</v>
      </c>
      <c r="C50" s="1" t="s">
        <v>15</v>
      </c>
      <c r="D50" s="2">
        <v>13899500</v>
      </c>
      <c r="E50" s="1">
        <v>109.2</v>
      </c>
      <c r="F50" s="3">
        <v>0.23549999999999999</v>
      </c>
      <c r="G50" s="4">
        <v>43556</v>
      </c>
      <c r="H50" s="5">
        <v>12.67</v>
      </c>
      <c r="I50" s="7">
        <f>LN(Tab_dadosSafra[[#This Row],[Preço Açúcar NY]]/H49)</f>
        <v>1.1909628661095288E-2</v>
      </c>
      <c r="J50" s="5">
        <f>VLOOKUP(Tab_dadosSafra[[#This Row],[Data]],[1]!Dados_Históricos___Etanol_Hidratado_Futuros[#Data],2,0)</f>
        <v>1575</v>
      </c>
      <c r="K50" s="7">
        <v>0</v>
      </c>
      <c r="L50" s="1">
        <v>3.8508</v>
      </c>
      <c r="M50" s="7">
        <f>LN(Tab_dadosSafra[[#This Row],[Preço Dólar]]/L49)</f>
        <v>9.8384123214327757E-3</v>
      </c>
    </row>
    <row r="51" spans="1:13" x14ac:dyDescent="0.35">
      <c r="A51" s="1" t="s">
        <v>30</v>
      </c>
      <c r="B51" s="1" t="s">
        <v>14</v>
      </c>
      <c r="C51" s="6" t="s">
        <v>16</v>
      </c>
      <c r="D51" s="2">
        <v>32002000</v>
      </c>
      <c r="E51" s="1">
        <v>111.63</v>
      </c>
      <c r="F51" s="3">
        <v>0.30830000000000002</v>
      </c>
      <c r="G51" s="4">
        <v>43570</v>
      </c>
      <c r="H51" s="5">
        <v>12.66</v>
      </c>
      <c r="I51" s="7">
        <f>LN(Tab_dadosSafra[[#This Row],[Preço Açúcar NY]]/H50)</f>
        <v>-7.895776170175851E-4</v>
      </c>
      <c r="J51" s="5">
        <f>VLOOKUP(Tab_dadosSafra[[#This Row],[Data]],[1]!Dados_Históricos___Etanol_Hidratado_Futuros[#Data],2,0)</f>
        <v>1800</v>
      </c>
      <c r="K51" s="7">
        <f>LN(Tab_dadosSafra[[#This Row],[Preço Etanol B3]]/J50)</f>
        <v>0.13353139262452257</v>
      </c>
      <c r="L51" s="1">
        <v>3.8719999999999999</v>
      </c>
      <c r="M51" s="7">
        <f>LN(Tab_dadosSafra[[#This Row],[Preço Dólar]]/L50)</f>
        <v>5.4902504926561367E-3</v>
      </c>
    </row>
    <row r="52" spans="1:13" x14ac:dyDescent="0.35">
      <c r="A52" s="1" t="s">
        <v>30</v>
      </c>
      <c r="B52" s="1" t="s">
        <v>17</v>
      </c>
      <c r="C52" s="6" t="s">
        <v>15</v>
      </c>
      <c r="D52" s="2">
        <v>38706000</v>
      </c>
      <c r="E52" s="1">
        <v>119.65</v>
      </c>
      <c r="F52" s="3">
        <v>0.36220000000000002</v>
      </c>
      <c r="G52" s="4">
        <v>43586</v>
      </c>
      <c r="H52" s="5">
        <v>12.21</v>
      </c>
      <c r="I52" s="7">
        <f>LN(Tab_dadosSafra[[#This Row],[Preço Açúcar NY]]/H51)</f>
        <v>-3.6192128593416792E-2</v>
      </c>
      <c r="J52" s="5">
        <v>0</v>
      </c>
      <c r="K52" s="7">
        <v>0</v>
      </c>
      <c r="L52" s="1">
        <v>3.9195000000000002</v>
      </c>
      <c r="M52" s="7">
        <f>LN(Tab_dadosSafra[[#This Row],[Preço Dólar]]/L51)</f>
        <v>1.219292523230928E-2</v>
      </c>
    </row>
    <row r="53" spans="1:13" x14ac:dyDescent="0.35">
      <c r="A53" s="1" t="s">
        <v>30</v>
      </c>
      <c r="B53" s="1" t="s">
        <v>17</v>
      </c>
      <c r="C53" s="6" t="s">
        <v>16</v>
      </c>
      <c r="D53" s="2">
        <v>44372000</v>
      </c>
      <c r="E53" s="1">
        <v>125.49</v>
      </c>
      <c r="F53" s="3">
        <v>0.3543</v>
      </c>
      <c r="G53" s="4">
        <v>43600</v>
      </c>
      <c r="H53" s="5">
        <v>11.85</v>
      </c>
      <c r="I53" s="7">
        <f>LN(Tab_dadosSafra[[#This Row],[Preço Açúcar NY]]/H52)</f>
        <v>-2.9927420541473255E-2</v>
      </c>
      <c r="J53" s="5">
        <f>VLOOKUP(Tab_dadosSafra[[#This Row],[Data]],[1]!Dados_Históricos___Etanol_Hidratado_Futuros[#Data],2,0)</f>
        <v>1650</v>
      </c>
      <c r="K53" s="7">
        <v>0</v>
      </c>
      <c r="L53" s="1">
        <v>4.0011999999999999</v>
      </c>
      <c r="M53" s="7">
        <f>LN(Tab_dadosSafra[[#This Row],[Preço Dólar]]/L52)</f>
        <v>2.0630221482248769E-2</v>
      </c>
    </row>
    <row r="54" spans="1:13" x14ac:dyDescent="0.35">
      <c r="A54" s="1" t="s">
        <v>30</v>
      </c>
      <c r="B54" s="1" t="s">
        <v>18</v>
      </c>
      <c r="C54" s="1" t="s">
        <v>15</v>
      </c>
      <c r="D54" s="2">
        <v>42522000</v>
      </c>
      <c r="E54" s="1">
        <v>128.88</v>
      </c>
      <c r="F54" s="3">
        <v>0.3584</v>
      </c>
      <c r="G54" s="4">
        <v>43619</v>
      </c>
      <c r="H54" s="5">
        <v>12.19</v>
      </c>
      <c r="I54" s="7">
        <f>LN(Tab_dadosSafra[[#This Row],[Preço Açúcar NY]]/H53)</f>
        <v>2.8288075912039971E-2</v>
      </c>
      <c r="J54" s="5">
        <v>0</v>
      </c>
      <c r="K54" s="7">
        <v>0</v>
      </c>
      <c r="L54" s="1">
        <v>3.8851</v>
      </c>
      <c r="M54" s="7">
        <f>LN(Tab_dadosSafra[[#This Row],[Preço Dólar]]/L53)</f>
        <v>-2.9445592614806549E-2</v>
      </c>
    </row>
    <row r="55" spans="1:13" x14ac:dyDescent="0.35">
      <c r="A55" s="1" t="s">
        <v>30</v>
      </c>
      <c r="B55" s="1" t="s">
        <v>18</v>
      </c>
      <c r="C55" s="6" t="s">
        <v>16</v>
      </c>
      <c r="D55" s="2">
        <v>46580000</v>
      </c>
      <c r="E55" s="1">
        <v>134.5</v>
      </c>
      <c r="F55" s="3">
        <v>0.37140000000000001</v>
      </c>
      <c r="G55" s="4">
        <v>43630</v>
      </c>
      <c r="H55" s="5">
        <v>12.75</v>
      </c>
      <c r="I55" s="7">
        <f>LN(Tab_dadosSafra[[#This Row],[Preço Açúcar NY]]/H54)</f>
        <v>4.4915328111255051E-2</v>
      </c>
      <c r="J55" s="5">
        <f>VLOOKUP(Tab_dadosSafra[[#This Row],[Data]],[1]!Dados_Históricos___Etanol_Hidratado_Futuros[#Data],2,0)</f>
        <v>1645</v>
      </c>
      <c r="K55" s="7">
        <v>0</v>
      </c>
      <c r="L55" s="1">
        <v>3.8956</v>
      </c>
      <c r="M55" s="7">
        <f>LN(Tab_dadosSafra[[#This Row],[Preço Dólar]]/L54)</f>
        <v>2.6989875908251799E-3</v>
      </c>
    </row>
    <row r="56" spans="1:13" x14ac:dyDescent="0.35">
      <c r="A56" s="1" t="s">
        <v>30</v>
      </c>
      <c r="B56" s="1" t="s">
        <v>19</v>
      </c>
      <c r="C56" s="6" t="s">
        <v>15</v>
      </c>
      <c r="D56" s="2">
        <v>40971000</v>
      </c>
      <c r="E56" s="1">
        <v>138.03</v>
      </c>
      <c r="F56" s="3">
        <v>0.36030000000000001</v>
      </c>
      <c r="G56" s="4">
        <v>43647</v>
      </c>
      <c r="H56" s="5">
        <v>12.57</v>
      </c>
      <c r="I56" s="7">
        <f>LN(Tab_dadosSafra[[#This Row],[Preço Açúcar NY]]/H55)</f>
        <v>-1.4218249002279025E-2</v>
      </c>
      <c r="J56" s="5">
        <f>VLOOKUP(Tab_dadosSafra[[#This Row],[Data]],[1]!Dados_Históricos___Etanol_Hidratado_Futuros[#Data],2,0)</f>
        <v>1655</v>
      </c>
      <c r="K56" s="7">
        <f>LN(Tab_dadosSafra[[#This Row],[Preço Etanol B3]]/J55)</f>
        <v>6.0606246116909545E-3</v>
      </c>
      <c r="L56" s="1">
        <v>3.8401000000000001</v>
      </c>
      <c r="M56" s="7">
        <f>LN(Tab_dadosSafra[[#This Row],[Preço Dólar]]/L55)</f>
        <v>-1.4349303177683206E-2</v>
      </c>
    </row>
    <row r="57" spans="1:13" x14ac:dyDescent="0.35">
      <c r="A57" s="1" t="s">
        <v>30</v>
      </c>
      <c r="B57" s="1" t="s">
        <v>19</v>
      </c>
      <c r="C57" s="6" t="s">
        <v>16</v>
      </c>
      <c r="D57" s="2">
        <v>49843000</v>
      </c>
      <c r="E57" s="1">
        <v>141.30000000000001</v>
      </c>
      <c r="F57" s="3">
        <v>0.37040000000000001</v>
      </c>
      <c r="G57" s="4">
        <v>43661</v>
      </c>
      <c r="H57" s="5">
        <v>12.06</v>
      </c>
      <c r="I57" s="7">
        <f>LN(Tab_dadosSafra[[#This Row],[Preço Açúcar NY]]/H56)</f>
        <v>-4.1418831303116625E-2</v>
      </c>
      <c r="J57" s="5">
        <v>0</v>
      </c>
      <c r="K57" s="7">
        <v>0</v>
      </c>
      <c r="L57" s="1">
        <v>3.7555000000000001</v>
      </c>
      <c r="M57" s="7">
        <f>LN(Tab_dadosSafra[[#This Row],[Preço Dólar]]/L56)</f>
        <v>-2.227697578329442E-2</v>
      </c>
    </row>
    <row r="58" spans="1:13" x14ac:dyDescent="0.35">
      <c r="A58" s="1" t="s">
        <v>30</v>
      </c>
      <c r="B58" s="1" t="s">
        <v>20</v>
      </c>
      <c r="C58" s="1" t="s">
        <v>15</v>
      </c>
      <c r="D58" s="2">
        <v>42927000</v>
      </c>
      <c r="E58" s="1">
        <v>146.22999999999999</v>
      </c>
      <c r="F58" s="3">
        <v>0.35870000000000002</v>
      </c>
      <c r="G58" s="4">
        <v>43678</v>
      </c>
      <c r="H58" s="5">
        <v>12.12</v>
      </c>
      <c r="I58" s="7">
        <f>LN(Tab_dadosSafra[[#This Row],[Preço Açúcar NY]]/H57)</f>
        <v>4.962789342128876E-3</v>
      </c>
      <c r="J58" s="5">
        <f>VLOOKUP(Tab_dadosSafra[[#This Row],[Data]],[1]!Dados_Históricos___Etanol_Hidratado_Futuros[#Data],2,0)</f>
        <v>1787</v>
      </c>
      <c r="K58" s="7">
        <v>0</v>
      </c>
      <c r="L58" s="1">
        <v>3.8388</v>
      </c>
      <c r="M58" s="7">
        <f>LN(Tab_dadosSafra[[#This Row],[Preço Dólar]]/L57)</f>
        <v>2.1938385617406055E-2</v>
      </c>
    </row>
    <row r="59" spans="1:13" x14ac:dyDescent="0.35">
      <c r="A59" s="1" t="s">
        <v>30</v>
      </c>
      <c r="B59" s="1" t="s">
        <v>20</v>
      </c>
      <c r="C59" s="6" t="s">
        <v>16</v>
      </c>
      <c r="D59" s="2">
        <v>47930000</v>
      </c>
      <c r="E59" s="1">
        <v>150.94</v>
      </c>
      <c r="F59" s="3">
        <v>0.36549999999999999</v>
      </c>
      <c r="G59" s="4">
        <v>43692</v>
      </c>
      <c r="H59" s="5">
        <v>11.63</v>
      </c>
      <c r="I59" s="7">
        <f>LN(Tab_dadosSafra[[#This Row],[Preço Açúcar NY]]/H58)</f>
        <v>-4.1269014110595179E-2</v>
      </c>
      <c r="J59" s="5">
        <v>0</v>
      </c>
      <c r="K59" s="7">
        <v>0</v>
      </c>
      <c r="L59" s="1">
        <v>3.9908000000000001</v>
      </c>
      <c r="M59" s="7">
        <f>LN(Tab_dadosSafra[[#This Row],[Preço Dólar]]/L58)</f>
        <v>3.8831894295879479E-2</v>
      </c>
    </row>
    <row r="60" spans="1:13" x14ac:dyDescent="0.35">
      <c r="A60" s="1" t="s">
        <v>30</v>
      </c>
      <c r="B60" s="1" t="s">
        <v>21</v>
      </c>
      <c r="C60" s="6" t="s">
        <v>15</v>
      </c>
      <c r="D60" s="2">
        <v>39579000</v>
      </c>
      <c r="E60" s="1">
        <v>154.22</v>
      </c>
      <c r="F60" s="3">
        <v>0.35099999999999998</v>
      </c>
      <c r="G60" s="4">
        <v>43711</v>
      </c>
      <c r="H60" s="5">
        <v>11.19</v>
      </c>
      <c r="I60" s="7">
        <f>LN(Tab_dadosSafra[[#This Row],[Preço Açúcar NY]]/H59)</f>
        <v>-3.8567444206739278E-2</v>
      </c>
      <c r="J60" s="5">
        <f>VLOOKUP(Tab_dadosSafra[[#This Row],[Data]],[1]!Dados_Históricos___Etanol_Hidratado_Futuros[#Data],2,0)</f>
        <v>1760</v>
      </c>
      <c r="K60" s="7">
        <v>0</v>
      </c>
      <c r="L60" s="1">
        <v>4.1677999999999997</v>
      </c>
      <c r="M60" s="7">
        <f>LN(Tab_dadosSafra[[#This Row],[Preço Dólar]]/L59)</f>
        <v>4.3396606597637152E-2</v>
      </c>
    </row>
    <row r="61" spans="1:13" x14ac:dyDescent="0.35">
      <c r="A61" s="1" t="s">
        <v>30</v>
      </c>
      <c r="B61" s="1" t="s">
        <v>22</v>
      </c>
      <c r="C61" s="6" t="s">
        <v>16</v>
      </c>
      <c r="D61" s="2">
        <v>35275000</v>
      </c>
      <c r="E61" s="1">
        <v>157.31</v>
      </c>
      <c r="F61" s="3">
        <v>0.3412</v>
      </c>
      <c r="G61" s="4">
        <v>43724</v>
      </c>
      <c r="H61" s="5">
        <v>11.09</v>
      </c>
      <c r="I61" s="7">
        <f>LN(Tab_dadosSafra[[#This Row],[Preço Açúcar NY]]/H60)</f>
        <v>-8.9767209615581288E-3</v>
      </c>
      <c r="J61" s="5">
        <f>VLOOKUP(Tab_dadosSafra[[#This Row],[Data]],[1]!Dados_Históricos___Etanol_Hidratado_Futuros[#Data],2,0)</f>
        <v>1800</v>
      </c>
      <c r="K61" s="7">
        <f>LN(Tab_dadosSafra[[#This Row],[Preço Etanol B3]]/J60)</f>
        <v>2.2472855852058576E-2</v>
      </c>
      <c r="L61" s="1">
        <v>4.0800999999999998</v>
      </c>
      <c r="M61" s="7">
        <f>LN(Tab_dadosSafra[[#This Row],[Preço Dólar]]/L60)</f>
        <v>-2.1266820735220626E-2</v>
      </c>
    </row>
    <row r="62" spans="1:13" x14ac:dyDescent="0.35">
      <c r="A62" s="1" t="s">
        <v>30</v>
      </c>
      <c r="B62" s="1" t="s">
        <v>23</v>
      </c>
      <c r="C62" s="1" t="s">
        <v>15</v>
      </c>
      <c r="D62" s="2">
        <v>37590000</v>
      </c>
      <c r="E62" s="1">
        <v>154.29</v>
      </c>
      <c r="F62" s="3">
        <v>0.34649999999999997</v>
      </c>
      <c r="G62" s="4">
        <v>43739</v>
      </c>
      <c r="H62" s="5">
        <v>12.88</v>
      </c>
      <c r="I62" s="7">
        <f>LN(Tab_dadosSafra[[#This Row],[Preço Açúcar NY]]/H61)</f>
        <v>0.14963191931393199</v>
      </c>
      <c r="J62" s="5">
        <f>VLOOKUP(Tab_dadosSafra[[#This Row],[Data]],[1]!Dados_Históricos___Etanol_Hidratado_Futuros[#Data],2,0)</f>
        <v>1850</v>
      </c>
      <c r="K62" s="7">
        <f>LN(Tab_dadosSafra[[#This Row],[Preço Etanol B3]]/J61)</f>
        <v>2.7398974188114347E-2</v>
      </c>
      <c r="L62" s="1">
        <v>4.1577999999999999</v>
      </c>
      <c r="M62" s="7">
        <f>LN(Tab_dadosSafra[[#This Row],[Preço Dólar]]/L61)</f>
        <v>1.8864590311245159E-2</v>
      </c>
    </row>
    <row r="63" spans="1:13" x14ac:dyDescent="0.35">
      <c r="A63" s="1" t="s">
        <v>30</v>
      </c>
      <c r="B63" s="1" t="s">
        <v>23</v>
      </c>
      <c r="C63" s="6" t="s">
        <v>16</v>
      </c>
      <c r="D63" s="2">
        <v>32753000</v>
      </c>
      <c r="E63" s="1">
        <v>151.49</v>
      </c>
      <c r="F63" s="3">
        <v>0.32140000000000002</v>
      </c>
      <c r="G63" s="4">
        <v>43753</v>
      </c>
      <c r="H63" s="5">
        <v>12.59</v>
      </c>
      <c r="I63" s="7">
        <f>LN(Tab_dadosSafra[[#This Row],[Preço Açúcar NY]]/H62)</f>
        <v>-2.2772872619951843E-2</v>
      </c>
      <c r="J63" s="5">
        <f>VLOOKUP(Tab_dadosSafra[[#This Row],[Data]],[1]!Dados_Históricos___Etanol_Hidratado_Futuros[#Data],2,0)</f>
        <v>1856.5</v>
      </c>
      <c r="K63" s="7">
        <f>LN(Tab_dadosSafra[[#This Row],[Preço Etanol B3]]/J62)</f>
        <v>3.5073555447643436E-3</v>
      </c>
      <c r="L63" s="1">
        <v>4.1805000000000003</v>
      </c>
      <c r="M63" s="7">
        <f>LN(Tab_dadosSafra[[#This Row],[Preço Dólar]]/L62)</f>
        <v>5.4447683770989762E-3</v>
      </c>
    </row>
    <row r="64" spans="1:13" x14ac:dyDescent="0.35">
      <c r="A64" s="1" t="s">
        <v>30</v>
      </c>
      <c r="B64" s="1" t="s">
        <v>24</v>
      </c>
      <c r="C64" s="6" t="s">
        <v>15</v>
      </c>
      <c r="D64" s="2">
        <v>19894000</v>
      </c>
      <c r="E64" s="1">
        <v>147.13999999999999</v>
      </c>
      <c r="F64" s="3">
        <v>0.28270000000000001</v>
      </c>
      <c r="G64" s="4">
        <v>43770</v>
      </c>
      <c r="H64" s="5">
        <v>12.48</v>
      </c>
      <c r="I64" s="7">
        <f>LN(Tab_dadosSafra[[#This Row],[Preço Açúcar NY]]/H63)</f>
        <v>-8.7754851149741825E-3</v>
      </c>
      <c r="J64" s="5">
        <v>0</v>
      </c>
      <c r="K64" s="7">
        <v>0</v>
      </c>
      <c r="L64" s="1">
        <v>3.9897</v>
      </c>
      <c r="M64" s="7">
        <f>LN(Tab_dadosSafra[[#This Row],[Preço Dólar]]/L63)</f>
        <v>-4.6714816502885489E-2</v>
      </c>
    </row>
    <row r="65" spans="1:13" x14ac:dyDescent="0.35">
      <c r="A65" s="1" t="s">
        <v>30</v>
      </c>
      <c r="B65" s="1" t="s">
        <v>24</v>
      </c>
      <c r="C65" s="6" t="s">
        <v>16</v>
      </c>
      <c r="D65" s="2">
        <v>10868000</v>
      </c>
      <c r="E65" s="1">
        <v>141.6</v>
      </c>
      <c r="F65" s="3">
        <v>0.2306</v>
      </c>
      <c r="G65" s="4">
        <v>43784</v>
      </c>
      <c r="H65" s="5">
        <v>12.73</v>
      </c>
      <c r="I65" s="7">
        <f>LN(Tab_dadosSafra[[#This Row],[Preço Açúcar NY]]/H64)</f>
        <v>1.9834049628033583E-2</v>
      </c>
      <c r="J65" s="5">
        <v>0</v>
      </c>
      <c r="K65" s="7">
        <v>0</v>
      </c>
      <c r="L65" s="1">
        <v>4.1957000000000004</v>
      </c>
      <c r="M65" s="7">
        <f>LN(Tab_dadosSafra[[#This Row],[Preço Dólar]]/L64)</f>
        <v>5.034415120946345E-2</v>
      </c>
    </row>
    <row r="66" spans="1:13" x14ac:dyDescent="0.35">
      <c r="A66" s="1" t="s">
        <v>30</v>
      </c>
      <c r="B66" s="1" t="s">
        <v>25</v>
      </c>
      <c r="C66" s="1" t="s">
        <v>15</v>
      </c>
      <c r="D66" s="2">
        <v>2554000</v>
      </c>
      <c r="E66" s="1">
        <v>128.66999999999999</v>
      </c>
      <c r="F66" s="3">
        <v>0.109</v>
      </c>
      <c r="G66" s="4">
        <v>43801</v>
      </c>
      <c r="H66" s="5">
        <v>12.75</v>
      </c>
      <c r="I66" s="7">
        <f>LN(Tab_dadosSafra[[#This Row],[Preço Açúcar NY]]/H65)</f>
        <v>1.5698590351200523E-3</v>
      </c>
      <c r="J66" s="5">
        <v>0</v>
      </c>
      <c r="K66" s="7">
        <v>0</v>
      </c>
      <c r="L66" s="1">
        <v>4.2229999999999999</v>
      </c>
      <c r="M66" s="7">
        <f>LN(Tab_dadosSafra[[#This Row],[Preço Dólar]]/L65)</f>
        <v>6.4855846372530359E-3</v>
      </c>
    </row>
    <row r="67" spans="1:13" x14ac:dyDescent="0.35">
      <c r="A67" s="1" t="s">
        <v>30</v>
      </c>
      <c r="B67" s="1" t="s">
        <v>25</v>
      </c>
      <c r="C67" s="6" t="s">
        <v>16</v>
      </c>
      <c r="D67" s="2">
        <v>734000</v>
      </c>
      <c r="E67" s="1">
        <v>128.81</v>
      </c>
      <c r="F67" s="3">
        <v>0.14369999999999999</v>
      </c>
      <c r="G67" s="4">
        <v>43815</v>
      </c>
      <c r="H67" s="5">
        <v>13.29</v>
      </c>
      <c r="I67" s="7">
        <f>LN(Tab_dadosSafra[[#This Row],[Preço Açúcar NY]]/H66)</f>
        <v>4.1480601120718705E-2</v>
      </c>
      <c r="J67" s="5">
        <v>0</v>
      </c>
      <c r="K67" s="7">
        <v>0</v>
      </c>
      <c r="L67" s="1">
        <v>4.0628000000000002</v>
      </c>
      <c r="M67" s="7">
        <f>LN(Tab_dadosSafra[[#This Row],[Preço Dólar]]/L66)</f>
        <v>-3.8673384868597442E-2</v>
      </c>
    </row>
    <row r="68" spans="1:13" x14ac:dyDescent="0.35">
      <c r="A68" s="1" t="s">
        <v>30</v>
      </c>
      <c r="B68" s="1" t="s">
        <v>26</v>
      </c>
      <c r="C68" s="6" t="s">
        <v>15</v>
      </c>
      <c r="D68" s="2">
        <v>128000</v>
      </c>
      <c r="E68" s="1">
        <v>105.77</v>
      </c>
      <c r="F68" s="3">
        <v>0.23050000000000001</v>
      </c>
      <c r="G68" s="4">
        <v>43832</v>
      </c>
      <c r="H68" s="5">
        <v>13.13</v>
      </c>
      <c r="I68" s="7">
        <f>LN(Tab_dadosSafra[[#This Row],[Preço Açúcar NY]]/H67)</f>
        <v>-1.2112184410449074E-2</v>
      </c>
      <c r="J68" s="5">
        <f>VLOOKUP(Tab_dadosSafra[[#This Row],[Data]],[1]!Dados_Históricos___Etanol_Hidratado_Futuros[#Data],2,0)</f>
        <v>2097.5</v>
      </c>
      <c r="K68" s="7">
        <v>0</v>
      </c>
      <c r="L68" s="1">
        <v>4.0259999999999998</v>
      </c>
      <c r="M68" s="7">
        <f>LN(Tab_dadosSafra[[#This Row],[Preço Dólar]]/L67)</f>
        <v>-9.099063865609389E-3</v>
      </c>
    </row>
    <row r="69" spans="1:13" x14ac:dyDescent="0.35">
      <c r="A69" s="1" t="s">
        <v>30</v>
      </c>
      <c r="B69" s="1" t="s">
        <v>26</v>
      </c>
      <c r="C69" s="6" t="s">
        <v>16</v>
      </c>
      <c r="D69" s="2">
        <v>87000</v>
      </c>
      <c r="E69" s="1">
        <v>149.68</v>
      </c>
      <c r="F69" s="3">
        <v>0.29470000000000002</v>
      </c>
      <c r="G69" s="4">
        <v>43845</v>
      </c>
      <c r="H69" s="5">
        <v>14.52</v>
      </c>
      <c r="I69" s="7">
        <f>LN(Tab_dadosSafra[[#This Row],[Preço Açúcar NY]]/H68)</f>
        <v>0.10062732108194522</v>
      </c>
      <c r="J69" s="5">
        <f>VLOOKUP(Tab_dadosSafra[[#This Row],[Data]],[1]!Dados_Históricos___Etanol_Hidratado_Futuros[#Data],2,0)</f>
        <v>2152.5</v>
      </c>
      <c r="K69" s="7">
        <f>LN(Tab_dadosSafra[[#This Row],[Preço Etanol B3]]/J68)</f>
        <v>2.5883797960524604E-2</v>
      </c>
      <c r="L69" s="1">
        <v>4.1753</v>
      </c>
      <c r="M69" s="7">
        <f>LN(Tab_dadosSafra[[#This Row],[Preço Dólar]]/L68)</f>
        <v>3.6412884791104924E-2</v>
      </c>
    </row>
    <row r="70" spans="1:13" x14ac:dyDescent="0.35">
      <c r="A70" s="1" t="s">
        <v>30</v>
      </c>
      <c r="B70" s="1" t="s">
        <v>27</v>
      </c>
      <c r="C70" s="1" t="s">
        <v>15</v>
      </c>
      <c r="D70" s="2">
        <v>169000</v>
      </c>
      <c r="E70" s="1">
        <v>60.48</v>
      </c>
      <c r="F70" s="3">
        <v>0.2581</v>
      </c>
      <c r="G70" s="4">
        <v>43864</v>
      </c>
      <c r="H70" s="5">
        <v>14.89</v>
      </c>
      <c r="I70" s="7">
        <f>LN(Tab_dadosSafra[[#This Row],[Preço Açúcar NY]]/H69)</f>
        <v>2.5162837299267701E-2</v>
      </c>
      <c r="J70" s="5">
        <v>0</v>
      </c>
      <c r="K70" s="7">
        <v>0</v>
      </c>
      <c r="L70" s="1">
        <v>4.2476000000000003</v>
      </c>
      <c r="M70" s="7">
        <f>LN(Tab_dadosSafra[[#This Row],[Preço Dólar]]/L69)</f>
        <v>1.7167905538848855E-2</v>
      </c>
    </row>
    <row r="71" spans="1:13" x14ac:dyDescent="0.35">
      <c r="A71" s="1" t="s">
        <v>30</v>
      </c>
      <c r="B71" s="1" t="s">
        <v>27</v>
      </c>
      <c r="C71" s="6" t="s">
        <v>16</v>
      </c>
      <c r="D71" s="2">
        <v>540000</v>
      </c>
      <c r="E71" s="1">
        <v>105</v>
      </c>
      <c r="F71" s="3">
        <v>0.12</v>
      </c>
      <c r="G71" s="4">
        <v>43875</v>
      </c>
      <c r="H71" s="5">
        <v>15.06</v>
      </c>
      <c r="I71" s="7">
        <f>LN(Tab_dadosSafra[[#This Row],[Preço Açúcar NY]]/H70)</f>
        <v>1.1352375675829817E-2</v>
      </c>
      <c r="J71" s="5">
        <f>VLOOKUP(Tab_dadosSafra[[#This Row],[Data]],[1]!Dados_Históricos___Etanol_Hidratado_Futuros[#Data],2,0)</f>
        <v>2222.5</v>
      </c>
      <c r="K71" s="7">
        <v>0</v>
      </c>
      <c r="L71" s="1">
        <v>4.2973999999999997</v>
      </c>
      <c r="M71" s="7">
        <f>LN(Tab_dadosSafra[[#This Row],[Preço Dólar]]/L70)</f>
        <v>1.1656071113937174E-2</v>
      </c>
    </row>
    <row r="72" spans="1:13" x14ac:dyDescent="0.35">
      <c r="A72" s="1" t="s">
        <v>30</v>
      </c>
      <c r="B72" s="1" t="s">
        <v>28</v>
      </c>
      <c r="C72" s="6" t="s">
        <v>15</v>
      </c>
      <c r="D72" s="2">
        <v>2992000</v>
      </c>
      <c r="E72" s="1">
        <v>102.55</v>
      </c>
      <c r="F72" s="3">
        <v>0.13969999999999999</v>
      </c>
      <c r="G72" s="4">
        <v>43892</v>
      </c>
      <c r="H72" s="5">
        <v>13.81</v>
      </c>
      <c r="I72" s="7">
        <f>LN(Tab_dadosSafra[[#This Row],[Preço Açúcar NY]]/H71)</f>
        <v>-8.6649254950546803E-2</v>
      </c>
      <c r="J72" s="5">
        <f>VLOOKUP(Tab_dadosSafra[[#This Row],[Data]],[1]!Dados_Históricos___Etanol_Hidratado_Futuros[#Data],2,0)</f>
        <v>2085</v>
      </c>
      <c r="K72" s="7">
        <f>LN(Tab_dadosSafra[[#This Row],[Preço Etanol B3]]/J71)</f>
        <v>-6.3863833155157854E-2</v>
      </c>
      <c r="L72" s="1">
        <v>4.4740000000000002</v>
      </c>
      <c r="M72" s="7">
        <f>LN(Tab_dadosSafra[[#This Row],[Preço Dólar]]/L71)</f>
        <v>4.02726744064471E-2</v>
      </c>
    </row>
    <row r="73" spans="1:13" x14ac:dyDescent="0.35">
      <c r="A73" s="1" t="s">
        <v>30</v>
      </c>
      <c r="B73" s="1" t="s">
        <v>28</v>
      </c>
      <c r="C73" s="6" t="s">
        <v>16</v>
      </c>
      <c r="D73" s="2">
        <v>7017000</v>
      </c>
      <c r="E73" s="1">
        <v>107.29</v>
      </c>
      <c r="F73" s="3">
        <v>0.27550000000000002</v>
      </c>
      <c r="G73" s="4">
        <v>43906</v>
      </c>
      <c r="H73" s="5">
        <v>11.09</v>
      </c>
      <c r="I73" s="7">
        <f>LN(Tab_dadosSafra[[#This Row],[Preço Açúcar NY]]/H72)</f>
        <v>-0.21934916605892507</v>
      </c>
      <c r="J73" s="5">
        <f>VLOOKUP(Tab_dadosSafra[[#This Row],[Data]],[1]!Dados_Históricos___Etanol_Hidratado_Futuros[#Data],2,0)</f>
        <v>1871.5</v>
      </c>
      <c r="K73" s="7">
        <f>LN(Tab_dadosSafra[[#This Row],[Preço Etanol B3]]/J72)</f>
        <v>-0.10802860688841813</v>
      </c>
      <c r="L73" s="1">
        <v>5.0002000000000004</v>
      </c>
      <c r="M73" s="7">
        <f>LN(Tab_dadosSafra[[#This Row],[Preço Dólar]]/L72)</f>
        <v>0.11119504856618385</v>
      </c>
    </row>
    <row r="74" spans="1:13" x14ac:dyDescent="0.35">
      <c r="A74" s="1" t="s">
        <v>31</v>
      </c>
      <c r="B74" s="1" t="s">
        <v>14</v>
      </c>
      <c r="C74" s="1" t="s">
        <v>15</v>
      </c>
      <c r="D74" s="2">
        <v>22422000</v>
      </c>
      <c r="E74" s="1">
        <v>112.08</v>
      </c>
      <c r="F74" s="3">
        <v>0.39689999999999998</v>
      </c>
      <c r="G74" s="4">
        <v>43922</v>
      </c>
      <c r="H74" s="5">
        <v>10.039999999999999</v>
      </c>
      <c r="I74" s="7">
        <f>LN(Tab_dadosSafra[[#This Row],[Preço Açúcar NY]]/H73)</f>
        <v>-9.9466687098692538E-2</v>
      </c>
      <c r="J74" s="5">
        <f>VLOOKUP(Tab_dadosSafra[[#This Row],[Data]],[1]!Dados_Históricos___Etanol_Hidratado_Futuros[#Data],2,0)</f>
        <v>1430</v>
      </c>
      <c r="K74" s="7">
        <f>LN(Tab_dadosSafra[[#This Row],[Preço Etanol B3]]/J73)</f>
        <v>-0.26906580409053066</v>
      </c>
      <c r="L74" s="1">
        <v>5.2492999999999999</v>
      </c>
      <c r="M74" s="7">
        <f>LN(Tab_dadosSafra[[#This Row],[Preço Dólar]]/L73)</f>
        <v>4.861682274639819E-2</v>
      </c>
    </row>
    <row r="75" spans="1:13" x14ac:dyDescent="0.35">
      <c r="A75" s="1" t="s">
        <v>31</v>
      </c>
      <c r="B75" s="1" t="s">
        <v>14</v>
      </c>
      <c r="C75" s="6" t="s">
        <v>16</v>
      </c>
      <c r="D75" s="2">
        <v>38269000</v>
      </c>
      <c r="E75" s="1">
        <v>121.83</v>
      </c>
      <c r="F75" s="3">
        <v>0.45760000000000001</v>
      </c>
      <c r="G75" s="4">
        <v>43936</v>
      </c>
      <c r="H75" s="5">
        <v>10.16</v>
      </c>
      <c r="I75" s="7">
        <f>LN(Tab_dadosSafra[[#This Row],[Preço Açúcar NY]]/H74)</f>
        <v>1.1881327886752686E-2</v>
      </c>
      <c r="J75" s="5">
        <f>VLOOKUP(Tab_dadosSafra[[#This Row],[Data]],[1]!Dados_Históricos___Etanol_Hidratado_Futuros[#Data],2,0)</f>
        <v>1400</v>
      </c>
      <c r="K75" s="7">
        <f>LN(Tab_dadosSafra[[#This Row],[Preço Etanol B3]]/J74)</f>
        <v>-2.1202207650602937E-2</v>
      </c>
      <c r="L75" s="1">
        <v>5.2366999999999999</v>
      </c>
      <c r="M75" s="7">
        <f>LN(Tab_dadosSafra[[#This Row],[Preço Dólar]]/L74)</f>
        <v>-2.4032054289844333E-3</v>
      </c>
    </row>
    <row r="76" spans="1:13" x14ac:dyDescent="0.35">
      <c r="A76" s="1" t="s">
        <v>31</v>
      </c>
      <c r="B76" s="1" t="s">
        <v>17</v>
      </c>
      <c r="C76" s="6" t="s">
        <v>15</v>
      </c>
      <c r="D76" s="2">
        <v>42300000</v>
      </c>
      <c r="E76" s="1">
        <v>130.82</v>
      </c>
      <c r="F76" s="3">
        <v>0.4723</v>
      </c>
      <c r="G76" s="4">
        <v>43952</v>
      </c>
      <c r="H76" s="5">
        <v>10.97</v>
      </c>
      <c r="I76" s="7">
        <f>LN(Tab_dadosSafra[[#This Row],[Preço Açúcar NY]]/H75)</f>
        <v>7.6705832136803126E-2</v>
      </c>
      <c r="J76" s="5">
        <v>0</v>
      </c>
      <c r="K76" s="7">
        <v>0</v>
      </c>
      <c r="L76" s="1">
        <v>5.4855999999999998</v>
      </c>
      <c r="M76" s="7">
        <f>LN(Tab_dadosSafra[[#This Row],[Preço Dólar]]/L75)</f>
        <v>4.6434948036482224E-2</v>
      </c>
    </row>
    <row r="77" spans="1:13" x14ac:dyDescent="0.35">
      <c r="A77" s="1" t="s">
        <v>31</v>
      </c>
      <c r="B77" s="1" t="s">
        <v>17</v>
      </c>
      <c r="C77" s="6" t="s">
        <v>16</v>
      </c>
      <c r="D77" s="2">
        <v>42370000</v>
      </c>
      <c r="E77" s="1">
        <v>133.78</v>
      </c>
      <c r="F77" s="3">
        <v>0.47349999999999998</v>
      </c>
      <c r="G77" s="4">
        <v>43966</v>
      </c>
      <c r="H77" s="5">
        <v>10.38</v>
      </c>
      <c r="I77" s="7">
        <f>LN(Tab_dadosSafra[[#This Row],[Preço Açúcar NY]]/H76)</f>
        <v>-5.5283396549396263E-2</v>
      </c>
      <c r="J77" s="5">
        <f>VLOOKUP(Tab_dadosSafra[[#This Row],[Data]],[1]!Dados_Históricos___Etanol_Hidratado_Futuros[#Data],2,0)</f>
        <v>1425</v>
      </c>
      <c r="K77" s="7">
        <v>0</v>
      </c>
      <c r="L77" s="1">
        <v>5.8554000000000004</v>
      </c>
      <c r="M77" s="7">
        <f>LN(Tab_dadosSafra[[#This Row],[Preço Dólar]]/L76)</f>
        <v>6.5237835405315872E-2</v>
      </c>
    </row>
    <row r="78" spans="1:13" x14ac:dyDescent="0.35">
      <c r="A78" s="1" t="s">
        <v>31</v>
      </c>
      <c r="B78" s="1" t="s">
        <v>18</v>
      </c>
      <c r="C78" s="1" t="s">
        <v>15</v>
      </c>
      <c r="D78" s="2">
        <v>41800000</v>
      </c>
      <c r="E78" s="1">
        <v>136.04</v>
      </c>
      <c r="F78" s="3">
        <v>0.47110000000000002</v>
      </c>
      <c r="G78" s="4">
        <v>43983</v>
      </c>
      <c r="H78" s="5">
        <v>11</v>
      </c>
      <c r="I78" s="7">
        <f>LN(Tab_dadosSafra[[#This Row],[Preço Açúcar NY]]/H77)</f>
        <v>5.8014395060627846E-2</v>
      </c>
      <c r="J78" s="5">
        <f>VLOOKUP(Tab_dadosSafra[[#This Row],[Data]],[1]!Dados_Históricos___Etanol_Hidratado_Futuros[#Data],2,0)</f>
        <v>1580</v>
      </c>
      <c r="K78" s="7">
        <v>0</v>
      </c>
      <c r="L78" s="1">
        <v>5.3632999999999997</v>
      </c>
      <c r="M78" s="7">
        <f>LN(Tab_dadosSafra[[#This Row],[Preço Dólar]]/L77)</f>
        <v>-8.7784855116862612E-2</v>
      </c>
    </row>
    <row r="79" spans="1:13" x14ac:dyDescent="0.35">
      <c r="A79" s="1" t="s">
        <v>31</v>
      </c>
      <c r="B79" s="1" t="s">
        <v>18</v>
      </c>
      <c r="C79" s="6" t="s">
        <v>16</v>
      </c>
      <c r="D79" s="2">
        <v>43120000</v>
      </c>
      <c r="E79" s="1">
        <v>140.66</v>
      </c>
      <c r="F79" s="3">
        <v>0.47420000000000001</v>
      </c>
      <c r="G79" s="4">
        <v>43997</v>
      </c>
      <c r="H79" s="5">
        <v>12.04</v>
      </c>
      <c r="I79" s="7">
        <f>LN(Tab_dadosSafra[[#This Row],[Preço Açúcar NY]]/H78)</f>
        <v>9.0339167082304384E-2</v>
      </c>
      <c r="J79" s="5">
        <f>VLOOKUP(Tab_dadosSafra[[#This Row],[Data]],[1]!Dados_Históricos___Etanol_Hidratado_Futuros[#Data],2,0)</f>
        <v>1720</v>
      </c>
      <c r="K79" s="7">
        <f>LN(Tab_dadosSafra[[#This Row],[Preço Etanol B3]]/J78)</f>
        <v>8.489944378648627E-2</v>
      </c>
      <c r="L79" s="1">
        <v>5.1557000000000004</v>
      </c>
      <c r="M79" s="7">
        <f>LN(Tab_dadosSafra[[#This Row],[Preço Dólar]]/L78)</f>
        <v>-3.9476558531576902E-2</v>
      </c>
    </row>
    <row r="80" spans="1:13" x14ac:dyDescent="0.35">
      <c r="A80" s="1" t="s">
        <v>31</v>
      </c>
      <c r="B80" s="1" t="s">
        <v>19</v>
      </c>
      <c r="C80" s="6" t="s">
        <v>15</v>
      </c>
      <c r="D80" s="2">
        <v>46660000</v>
      </c>
      <c r="E80" s="1">
        <v>142.13999999999999</v>
      </c>
      <c r="F80" s="3">
        <v>0.47939999999999999</v>
      </c>
      <c r="G80" s="4">
        <v>44013</v>
      </c>
      <c r="H80" s="5">
        <v>12.17</v>
      </c>
      <c r="I80" s="7">
        <f>LN(Tab_dadosSafra[[#This Row],[Preço Açúcar NY]]/H79)</f>
        <v>1.0739467118760813E-2</v>
      </c>
      <c r="J80" s="5">
        <f>VLOOKUP(Tab_dadosSafra[[#This Row],[Data]],[1]!Dados_Históricos___Etanol_Hidratado_Futuros[#Data],2,0)</f>
        <v>1715</v>
      </c>
      <c r="K80" s="7">
        <f>LN(Tab_dadosSafra[[#This Row],[Preço Etanol B3]]/J79)</f>
        <v>-2.9112102074584415E-3</v>
      </c>
      <c r="L80" s="1">
        <v>5.3174000000000001</v>
      </c>
      <c r="M80" s="7">
        <f>LN(Tab_dadosSafra[[#This Row],[Preço Dólar]]/L79)</f>
        <v>3.088156334072218E-2</v>
      </c>
    </row>
    <row r="81" spans="1:13" x14ac:dyDescent="0.35">
      <c r="A81" s="1" t="s">
        <v>31</v>
      </c>
      <c r="B81" s="1" t="s">
        <v>19</v>
      </c>
      <c r="C81" s="6" t="s">
        <v>16</v>
      </c>
      <c r="D81" s="2">
        <v>50831000</v>
      </c>
      <c r="E81" s="1">
        <v>148.12</v>
      </c>
      <c r="F81" s="3">
        <v>0.47939999999999999</v>
      </c>
      <c r="G81" s="4">
        <v>44027</v>
      </c>
      <c r="H81" s="5">
        <v>11.82</v>
      </c>
      <c r="I81" s="7">
        <f>LN(Tab_dadosSafra[[#This Row],[Preço Açúcar NY]]/H80)</f>
        <v>-2.918089502148365E-2</v>
      </c>
      <c r="J81" s="5">
        <f>VLOOKUP(Tab_dadosSafra[[#This Row],[Data]],[1]!Dados_Históricos___Etanol_Hidratado_Futuros[#Data],2,0)</f>
        <v>1692.5</v>
      </c>
      <c r="K81" s="7">
        <f>LN(Tab_dadosSafra[[#This Row],[Preço Etanol B3]]/J80)</f>
        <v>-1.320635481361023E-2</v>
      </c>
      <c r="L81" s="1">
        <v>5.3697999999999997</v>
      </c>
      <c r="M81" s="7">
        <f>LN(Tab_dadosSafra[[#This Row],[Preço Dólar]]/L80)</f>
        <v>9.8062017937255424E-3</v>
      </c>
    </row>
    <row r="82" spans="1:13" x14ac:dyDescent="0.35">
      <c r="A82" s="1" t="s">
        <v>31</v>
      </c>
      <c r="B82" s="1" t="s">
        <v>20</v>
      </c>
      <c r="C82" s="1" t="s">
        <v>15</v>
      </c>
      <c r="D82" s="2">
        <v>46542000</v>
      </c>
      <c r="E82" s="1">
        <v>152.63999999999999</v>
      </c>
      <c r="F82" s="3">
        <v>0.47660000000000002</v>
      </c>
      <c r="G82" s="4">
        <v>44046</v>
      </c>
      <c r="H82" s="5">
        <v>12.72</v>
      </c>
      <c r="I82" s="7">
        <f>LN(Tab_dadosSafra[[#This Row],[Preço Açúcar NY]]/H81)</f>
        <v>7.338254593402406E-2</v>
      </c>
      <c r="J82" s="5">
        <f>VLOOKUP(Tab_dadosSafra[[#This Row],[Data]],[1]!Dados_Históricos___Etanol_Hidratado_Futuros[#Data],2,0)</f>
        <v>1770</v>
      </c>
      <c r="K82" s="7">
        <f>LN(Tab_dadosSafra[[#This Row],[Preço Etanol B3]]/J81)</f>
        <v>4.4772820781444858E-2</v>
      </c>
      <c r="L82" s="1">
        <v>5.3212999999999999</v>
      </c>
      <c r="M82" s="7">
        <f>LN(Tab_dadosSafra[[#This Row],[Preço Dólar]]/L81)</f>
        <v>-9.0730294747954424E-3</v>
      </c>
    </row>
    <row r="83" spans="1:13" x14ac:dyDescent="0.35">
      <c r="A83" s="1" t="s">
        <v>31</v>
      </c>
      <c r="B83" s="1" t="s">
        <v>20</v>
      </c>
      <c r="C83" s="6" t="s">
        <v>16</v>
      </c>
      <c r="D83" s="2">
        <v>42213000</v>
      </c>
      <c r="E83" s="1">
        <v>156.07</v>
      </c>
      <c r="F83" s="3">
        <v>0.46839999999999998</v>
      </c>
      <c r="G83" s="4">
        <v>44057</v>
      </c>
      <c r="H83" s="5">
        <v>13.1</v>
      </c>
      <c r="I83" s="7">
        <f>LN(Tab_dadosSafra[[#This Row],[Preço Açúcar NY]]/H82)</f>
        <v>2.9436672295129605E-2</v>
      </c>
      <c r="J83" s="5">
        <f>VLOOKUP(Tab_dadosSafra[[#This Row],[Data]],[1]!Dados_Históricos___Etanol_Hidratado_Futuros[#Data],2,0)</f>
        <v>1755.5</v>
      </c>
      <c r="K83" s="7">
        <f>LN(Tab_dadosSafra[[#This Row],[Preço Etanol B3]]/J82)</f>
        <v>-8.2258299593878561E-3</v>
      </c>
      <c r="L83" s="1">
        <v>5.4203999999999999</v>
      </c>
      <c r="M83" s="7">
        <f>LN(Tab_dadosSafra[[#This Row],[Preço Dólar]]/L82)</f>
        <v>1.8451979061875564E-2</v>
      </c>
    </row>
    <row r="84" spans="1:13" x14ac:dyDescent="0.35">
      <c r="A84" s="1" t="s">
        <v>31</v>
      </c>
      <c r="B84" s="1" t="s">
        <v>21</v>
      </c>
      <c r="C84" s="6" t="s">
        <v>15</v>
      </c>
      <c r="D84" s="2">
        <v>44620000</v>
      </c>
      <c r="E84" s="1">
        <v>159.09</v>
      </c>
      <c r="F84" s="3">
        <v>0.47239999999999999</v>
      </c>
      <c r="G84" s="4">
        <v>44075</v>
      </c>
      <c r="H84" s="5">
        <v>12.6</v>
      </c>
      <c r="I84" s="7">
        <f>LN(Tab_dadosSafra[[#This Row],[Preço Açúcar NY]]/H83)</f>
        <v>-3.8915416249673498E-2</v>
      </c>
      <c r="J84" s="5">
        <f>VLOOKUP(Tab_dadosSafra[[#This Row],[Data]],[1]!Dados_Históricos___Etanol_Hidratado_Futuros[#Data],2,0)</f>
        <v>1930</v>
      </c>
      <c r="K84" s="7">
        <f>LN(Tab_dadosSafra[[#This Row],[Preço Etanol B3]]/J83)</f>
        <v>9.4766286290444299E-2</v>
      </c>
      <c r="L84" s="1">
        <v>5.3959999999999999</v>
      </c>
      <c r="M84" s="7">
        <f>LN(Tab_dadosSafra[[#This Row],[Preço Dólar]]/L83)</f>
        <v>-4.5116751209122478E-3</v>
      </c>
    </row>
    <row r="85" spans="1:13" x14ac:dyDescent="0.35">
      <c r="A85" s="1" t="s">
        <v>31</v>
      </c>
      <c r="B85" s="1" t="s">
        <v>22</v>
      </c>
      <c r="C85" s="6" t="s">
        <v>16</v>
      </c>
      <c r="D85" s="2">
        <v>40390000</v>
      </c>
      <c r="E85" s="1">
        <v>161.35</v>
      </c>
      <c r="F85" s="3">
        <v>0.4637</v>
      </c>
      <c r="G85" s="4">
        <v>44089</v>
      </c>
      <c r="H85" s="5">
        <v>12.08</v>
      </c>
      <c r="I85" s="7">
        <f>LN(Tab_dadosSafra[[#This Row],[Preço Açúcar NY]]/H84)</f>
        <v>-4.2145621450763386E-2</v>
      </c>
      <c r="J85" s="5">
        <f>VLOOKUP(Tab_dadosSafra[[#This Row],[Data]],[1]!Dados_Históricos___Etanol_Hidratado_Futuros[#Data],2,0)</f>
        <v>1845</v>
      </c>
      <c r="K85" s="7">
        <f>LN(Tab_dadosSafra[[#This Row],[Preço Etanol B3]]/J84)</f>
        <v>-4.5040725424303721E-2</v>
      </c>
      <c r="L85" s="1">
        <v>5.2747999999999999</v>
      </c>
      <c r="M85" s="7">
        <f>LN(Tab_dadosSafra[[#This Row],[Preço Dólar]]/L84)</f>
        <v>-2.2717174394102434E-2</v>
      </c>
    </row>
    <row r="86" spans="1:13" x14ac:dyDescent="0.35">
      <c r="A86" s="1" t="s">
        <v>31</v>
      </c>
      <c r="B86" s="1" t="s">
        <v>23</v>
      </c>
      <c r="C86" s="1" t="s">
        <v>15</v>
      </c>
      <c r="D86" s="2">
        <v>36951000</v>
      </c>
      <c r="E86" s="1">
        <v>164.04</v>
      </c>
      <c r="F86" s="3">
        <v>0.4536</v>
      </c>
      <c r="G86" s="4">
        <v>44105</v>
      </c>
      <c r="H86" s="5">
        <v>13.58</v>
      </c>
      <c r="I86" s="7">
        <f>LN(Tab_dadosSafra[[#This Row],[Preço Açúcar NY]]/H85)</f>
        <v>0.1170469296238812</v>
      </c>
      <c r="J86" s="5">
        <f>VLOOKUP(Tab_dadosSafra[[#This Row],[Data]],[1]!Dados_Históricos___Etanol_Hidratado_Futuros[#Data],2,0)</f>
        <v>1942</v>
      </c>
      <c r="K86" s="7">
        <f>LN(Tab_dadosSafra[[#This Row],[Preço Etanol B3]]/J85)</f>
        <v>5.1239092376642655E-2</v>
      </c>
      <c r="L86" s="1">
        <v>5.6436999999999999</v>
      </c>
      <c r="M86" s="7">
        <f>LN(Tab_dadosSafra[[#This Row],[Preço Dólar]]/L85)</f>
        <v>6.7599114834810625E-2</v>
      </c>
    </row>
    <row r="87" spans="1:13" x14ac:dyDescent="0.35">
      <c r="A87" s="1" t="s">
        <v>31</v>
      </c>
      <c r="B87" s="1" t="s">
        <v>23</v>
      </c>
      <c r="C87" s="6" t="s">
        <v>16</v>
      </c>
      <c r="D87" s="2">
        <v>26894000</v>
      </c>
      <c r="E87" s="1">
        <v>155.96</v>
      </c>
      <c r="F87" s="3">
        <v>0.43630000000000002</v>
      </c>
      <c r="G87" s="4">
        <v>44119</v>
      </c>
      <c r="H87" s="5">
        <v>14.18</v>
      </c>
      <c r="I87" s="7">
        <f>LN(Tab_dadosSafra[[#This Row],[Preço Açúcar NY]]/H86)</f>
        <v>4.3234398973431433E-2</v>
      </c>
      <c r="J87" s="5">
        <f>VLOOKUP(Tab_dadosSafra[[#This Row],[Data]],[1]!Dados_Históricos___Etanol_Hidratado_Futuros[#Data],2,0)</f>
        <v>2070</v>
      </c>
      <c r="K87" s="7">
        <f>LN(Tab_dadosSafra[[#This Row],[Preço Etanol B3]]/J86)</f>
        <v>6.3830237408144461E-2</v>
      </c>
      <c r="L87" s="1">
        <v>5.6125999999999996</v>
      </c>
      <c r="M87" s="7">
        <f>LN(Tab_dadosSafra[[#This Row],[Preço Dólar]]/L86)</f>
        <v>-5.5258085046348505E-3</v>
      </c>
    </row>
    <row r="88" spans="1:13" x14ac:dyDescent="0.35">
      <c r="A88" s="1" t="s">
        <v>31</v>
      </c>
      <c r="B88" s="1" t="s">
        <v>24</v>
      </c>
      <c r="C88" s="6" t="s">
        <v>15</v>
      </c>
      <c r="D88" s="2">
        <v>20338000</v>
      </c>
      <c r="E88" s="1">
        <v>153.56</v>
      </c>
      <c r="F88" s="3">
        <v>0.41739999999999999</v>
      </c>
      <c r="G88" s="4">
        <v>44137</v>
      </c>
      <c r="H88" s="5">
        <v>14.97</v>
      </c>
      <c r="I88" s="7">
        <f>LN(Tab_dadosSafra[[#This Row],[Preço Açúcar NY]]/H87)</f>
        <v>5.421567732755557E-2</v>
      </c>
      <c r="J88" s="5">
        <v>0</v>
      </c>
      <c r="K88" s="7">
        <v>0</v>
      </c>
      <c r="L88" s="1">
        <v>5.7424999999999997</v>
      </c>
      <c r="M88" s="7">
        <f>LN(Tab_dadosSafra[[#This Row],[Preço Dólar]]/L87)</f>
        <v>2.2880585299533473E-2</v>
      </c>
    </row>
    <row r="89" spans="1:13" x14ac:dyDescent="0.35">
      <c r="A89" s="1" t="s">
        <v>31</v>
      </c>
      <c r="B89" s="1" t="s">
        <v>24</v>
      </c>
      <c r="C89" s="6" t="s">
        <v>16</v>
      </c>
      <c r="D89" s="2">
        <v>8738000</v>
      </c>
      <c r="E89" s="1">
        <v>144.18</v>
      </c>
      <c r="F89" s="3">
        <v>0.35549999999999998</v>
      </c>
      <c r="G89" s="4">
        <v>44151</v>
      </c>
      <c r="H89" s="5">
        <v>15.47</v>
      </c>
      <c r="I89" s="7">
        <f>LN(Tab_dadosSafra[[#This Row],[Preço Açúcar NY]]/H88)</f>
        <v>3.2854466153437865E-2</v>
      </c>
      <c r="J89" s="5">
        <f>VLOOKUP(Tab_dadosSafra[[#This Row],[Data]],[1]!Dados_Históricos___Etanol_Hidratado_Futuros[#Data],2,0)</f>
        <v>2115</v>
      </c>
      <c r="K89" s="7">
        <v>0</v>
      </c>
      <c r="L89" s="1">
        <v>5.4151999999999996</v>
      </c>
      <c r="M89" s="7">
        <f>LN(Tab_dadosSafra[[#This Row],[Preço Dólar]]/L88)</f>
        <v>-5.868484136885551E-2</v>
      </c>
    </row>
    <row r="90" spans="1:13" x14ac:dyDescent="0.35">
      <c r="A90" s="1" t="s">
        <v>31</v>
      </c>
      <c r="B90" s="1" t="s">
        <v>25</v>
      </c>
      <c r="C90" s="1" t="s">
        <v>15</v>
      </c>
      <c r="D90" s="2">
        <v>2048000</v>
      </c>
      <c r="E90" s="1">
        <v>148.4</v>
      </c>
      <c r="F90" s="3">
        <v>0.29509999999999997</v>
      </c>
      <c r="G90" s="4">
        <v>44166</v>
      </c>
      <c r="H90" s="5">
        <v>14.51</v>
      </c>
      <c r="I90" s="7">
        <f>LN(Tab_dadosSafra[[#This Row],[Preço Açúcar NY]]/H89)</f>
        <v>-6.4064597688878275E-2</v>
      </c>
      <c r="J90" s="5">
        <f>VLOOKUP(Tab_dadosSafra[[#This Row],[Data]],[1]!Dados_Históricos___Etanol_Hidratado_Futuros[#Data],2,0)</f>
        <v>2095</v>
      </c>
      <c r="K90" s="7">
        <f>LN(Tab_dadosSafra[[#This Row],[Preço Etanol B3]]/J89)</f>
        <v>-9.5012591241402516E-3</v>
      </c>
      <c r="L90" s="1">
        <v>5.2061000000000002</v>
      </c>
      <c r="M90" s="7">
        <f>LN(Tab_dadosSafra[[#This Row],[Preço Dólar]]/L89)</f>
        <v>-3.9378799218914677E-2</v>
      </c>
    </row>
    <row r="91" spans="1:13" x14ac:dyDescent="0.35">
      <c r="A91" s="1" t="s">
        <v>31</v>
      </c>
      <c r="B91" s="1" t="s">
        <v>25</v>
      </c>
      <c r="C91" s="6" t="s">
        <v>16</v>
      </c>
      <c r="D91" s="2">
        <v>453000</v>
      </c>
      <c r="E91" s="1">
        <v>152.61000000000001</v>
      </c>
      <c r="F91" s="3">
        <v>0.1694</v>
      </c>
      <c r="G91" s="4">
        <v>44180</v>
      </c>
      <c r="H91" s="5">
        <v>14.21</v>
      </c>
      <c r="I91" s="7">
        <f>LN(Tab_dadosSafra[[#This Row],[Preço Açúcar NY]]/H90)</f>
        <v>-2.0892124787087164E-2</v>
      </c>
      <c r="J91" s="5">
        <f>VLOOKUP(Tab_dadosSafra[[#This Row],[Data]],[1]!Dados_Históricos___Etanol_Hidratado_Futuros[#Data],2,0)</f>
        <v>2100</v>
      </c>
      <c r="K91" s="7">
        <f>LN(Tab_dadosSafra[[#This Row],[Preço Etanol B3]]/J90)</f>
        <v>2.3837913552761975E-3</v>
      </c>
      <c r="L91" s="1">
        <v>5.0842000000000001</v>
      </c>
      <c r="M91" s="7">
        <f>LN(Tab_dadosSafra[[#This Row],[Preço Dólar]]/L90)</f>
        <v>-2.3693323336832158E-2</v>
      </c>
    </row>
    <row r="92" spans="1:13" x14ac:dyDescent="0.35">
      <c r="A92" s="1" t="s">
        <v>31</v>
      </c>
      <c r="B92" s="1" t="s">
        <v>26</v>
      </c>
      <c r="C92" s="6" t="s">
        <v>15</v>
      </c>
      <c r="D92" s="2">
        <v>213000</v>
      </c>
      <c r="E92" s="1">
        <v>116.53</v>
      </c>
      <c r="F92" s="3">
        <v>0.32090000000000002</v>
      </c>
      <c r="G92" s="4">
        <v>44200</v>
      </c>
      <c r="H92" s="5">
        <v>15.76</v>
      </c>
      <c r="I92" s="7">
        <f>LN(Tab_dadosSafra[[#This Row],[Preço Açúcar NY]]/H91)</f>
        <v>0.10352914232072372</v>
      </c>
      <c r="J92" s="5">
        <f>VLOOKUP(Tab_dadosSafra[[#This Row],[Data]],[1]!Dados_Históricos___Etanol_Hidratado_Futuros[#Data],2,0)</f>
        <v>2050</v>
      </c>
      <c r="K92" s="7">
        <f>LN(Tab_dadosSafra[[#This Row],[Preço Etanol B3]]/J91)</f>
        <v>-2.409755157906053E-2</v>
      </c>
      <c r="L92" s="1">
        <v>5.2968000000000002</v>
      </c>
      <c r="M92" s="7">
        <f>LN(Tab_dadosSafra[[#This Row],[Preço Dólar]]/L91)</f>
        <v>4.0965172971985563E-2</v>
      </c>
    </row>
    <row r="93" spans="1:13" x14ac:dyDescent="0.35">
      <c r="A93" s="1" t="s">
        <v>31</v>
      </c>
      <c r="B93" s="1" t="s">
        <v>26</v>
      </c>
      <c r="C93" s="6" t="s">
        <v>16</v>
      </c>
      <c r="D93" s="2">
        <v>45000</v>
      </c>
      <c r="E93" s="1">
        <v>226.05</v>
      </c>
      <c r="F93" s="3">
        <v>0.19409999999999999</v>
      </c>
      <c r="G93" s="4">
        <v>44211</v>
      </c>
      <c r="H93" s="5">
        <v>16.45</v>
      </c>
      <c r="I93" s="7">
        <f>LN(Tab_dadosSafra[[#This Row],[Preço Açúcar NY]]/H92)</f>
        <v>4.285039278164781E-2</v>
      </c>
      <c r="J93" s="5">
        <f>VLOOKUP(Tab_dadosSafra[[#This Row],[Data]],[1]!Dados_Históricos___Etanol_Hidratado_Futuros[#Data],2,0)</f>
        <v>2140</v>
      </c>
      <c r="K93" s="7">
        <f>LN(Tab_dadosSafra[[#This Row],[Preço Etanol B3]]/J92)</f>
        <v>4.2966035883443339E-2</v>
      </c>
      <c r="L93" s="1">
        <v>5.2927</v>
      </c>
      <c r="M93" s="7">
        <f>LN(Tab_dadosSafra[[#This Row],[Preço Dólar]]/L92)</f>
        <v>-7.7435199109886861E-4</v>
      </c>
    </row>
    <row r="94" spans="1:13" x14ac:dyDescent="0.35">
      <c r="A94" s="1" t="s">
        <v>31</v>
      </c>
      <c r="B94" s="1" t="s">
        <v>27</v>
      </c>
      <c r="C94" s="1" t="s">
        <v>15</v>
      </c>
      <c r="D94" s="2">
        <v>487000</v>
      </c>
      <c r="E94" s="1">
        <v>126.06</v>
      </c>
      <c r="F94" s="3">
        <v>0.36509999999999998</v>
      </c>
      <c r="G94" s="4">
        <v>44228</v>
      </c>
      <c r="H94" s="5">
        <v>16.149999999999999</v>
      </c>
      <c r="I94" s="7">
        <f>LN(Tab_dadosSafra[[#This Row],[Preço Açúcar NY]]/H93)</f>
        <v>-1.8405427542715409E-2</v>
      </c>
      <c r="J94" s="5">
        <f>VLOOKUP(Tab_dadosSafra[[#This Row],[Data]],[1]!Dados_Históricos___Etanol_Hidratado_Futuros[#Data],2,0)</f>
        <v>2227.5</v>
      </c>
      <c r="K94" s="7">
        <f>LN(Tab_dadosSafra[[#This Row],[Preço Etanol B3]]/J93)</f>
        <v>4.0074051329067308E-2</v>
      </c>
      <c r="L94" s="1">
        <v>5.4321999999999999</v>
      </c>
      <c r="M94" s="7">
        <f>LN(Tab_dadosSafra[[#This Row],[Preço Dólar]]/L93)</f>
        <v>2.6015695792449167E-2</v>
      </c>
    </row>
    <row r="95" spans="1:13" x14ac:dyDescent="0.35">
      <c r="A95" s="1" t="s">
        <v>31</v>
      </c>
      <c r="B95" s="1" t="s">
        <v>27</v>
      </c>
      <c r="C95" s="6" t="s">
        <v>16</v>
      </c>
      <c r="D95" s="2">
        <v>669000</v>
      </c>
      <c r="E95" s="1">
        <v>102.35</v>
      </c>
      <c r="F95" s="3">
        <v>0.28620000000000001</v>
      </c>
      <c r="G95" s="4">
        <v>44242</v>
      </c>
      <c r="H95" s="5">
        <v>16.34</v>
      </c>
      <c r="I95" s="7">
        <f>LN(Tab_dadosSafra[[#This Row],[Preço Açúcar NY]]/H94)</f>
        <v>1.1696039763191456E-2</v>
      </c>
      <c r="J95" s="5">
        <v>0</v>
      </c>
      <c r="K95" s="7">
        <v>0</v>
      </c>
      <c r="L95" s="1">
        <v>5.3697999999999997</v>
      </c>
      <c r="M95" s="7">
        <f>LN(Tab_dadosSafra[[#This Row],[Preço Dólar]]/L94)</f>
        <v>-1.1553544550507836E-2</v>
      </c>
    </row>
    <row r="96" spans="1:13" x14ac:dyDescent="0.35">
      <c r="A96" s="1" t="s">
        <v>31</v>
      </c>
      <c r="B96" s="1" t="s">
        <v>28</v>
      </c>
      <c r="C96" s="6" t="s">
        <v>15</v>
      </c>
      <c r="D96" s="2">
        <v>2094000</v>
      </c>
      <c r="E96" s="1">
        <v>107</v>
      </c>
      <c r="F96" s="3">
        <v>0.38500000000000001</v>
      </c>
      <c r="G96" s="4">
        <v>44256</v>
      </c>
      <c r="H96" s="5">
        <v>16.21</v>
      </c>
      <c r="I96" s="7">
        <f>LN(Tab_dadosSafra[[#This Row],[Preço Açúcar NY]]/H95)</f>
        <v>-7.9877536842720403E-3</v>
      </c>
      <c r="J96" s="5">
        <f>VLOOKUP(Tab_dadosSafra[[#This Row],[Data]],[1]!Dados_Históricos___Etanol_Hidratado_Futuros[#Data],2,0)</f>
        <v>2935</v>
      </c>
      <c r="K96" s="7">
        <v>0</v>
      </c>
      <c r="L96" s="1">
        <v>5.6417999999999999</v>
      </c>
      <c r="M96" s="7">
        <f>LN(Tab_dadosSafra[[#This Row],[Preço Dólar]]/L95)</f>
        <v>4.9412499649607401E-2</v>
      </c>
    </row>
    <row r="97" spans="1:13" x14ac:dyDescent="0.35">
      <c r="A97" s="1" t="s">
        <v>31</v>
      </c>
      <c r="B97" s="1" t="s">
        <v>28</v>
      </c>
      <c r="C97" s="6" t="s">
        <v>16</v>
      </c>
      <c r="D97" s="2">
        <v>4995000</v>
      </c>
      <c r="E97" s="1">
        <v>113.23</v>
      </c>
      <c r="F97" s="3">
        <v>0.3221</v>
      </c>
      <c r="G97" s="4">
        <v>44270</v>
      </c>
      <c r="H97" s="5">
        <v>16.12</v>
      </c>
      <c r="I97" s="7">
        <f>LN(Tab_dadosSafra[[#This Row],[Preço Açúcar NY]]/H96)</f>
        <v>-5.5675986691024783E-3</v>
      </c>
      <c r="J97" s="5">
        <f>VLOOKUP(Tab_dadosSafra[[#This Row],[Data]],[1]!Dados_Históricos___Etanol_Hidratado_Futuros[#Data],2,0)</f>
        <v>2685</v>
      </c>
      <c r="K97" s="7">
        <f>LN(Tab_dadosSafra[[#This Row],[Preço Etanol B3]]/J96)</f>
        <v>-8.9026725319231712E-2</v>
      </c>
      <c r="L97" s="1">
        <v>5.6155999999999997</v>
      </c>
      <c r="M97" s="7">
        <f>LN(Tab_dadosSafra[[#This Row],[Preço Dólar]]/L96)</f>
        <v>-4.6547244132901519E-3</v>
      </c>
    </row>
    <row r="98" spans="1:13" x14ac:dyDescent="0.35">
      <c r="A98" s="1" t="s">
        <v>32</v>
      </c>
      <c r="B98" s="1" t="s">
        <v>14</v>
      </c>
      <c r="C98" s="1" t="s">
        <v>15</v>
      </c>
      <c r="D98" s="2">
        <v>15665000</v>
      </c>
      <c r="E98" s="1">
        <v>109.28</v>
      </c>
      <c r="F98" s="3">
        <v>0.38800000000000001</v>
      </c>
      <c r="G98" s="4">
        <v>44287</v>
      </c>
      <c r="H98" s="5">
        <v>14.71</v>
      </c>
      <c r="I98" s="7">
        <f>LN(Tab_dadosSafra[[#This Row],[Preço Açúcar NY]]/H97)</f>
        <v>-9.1533202465136049E-2</v>
      </c>
      <c r="J98" s="5">
        <f>VLOOKUP(Tab_dadosSafra[[#This Row],[Data]],[1]!Dados_Históricos___Etanol_Hidratado_Futuros[#Data],2,0)</f>
        <v>2350</v>
      </c>
      <c r="K98" s="7">
        <f>LN(Tab_dadosSafra[[#This Row],[Preço Etanol B3]]/J97)</f>
        <v>-0.13326539980476046</v>
      </c>
      <c r="L98" s="1">
        <v>5.7070999999999996</v>
      </c>
      <c r="M98" s="7">
        <f>LN(Tab_dadosSafra[[#This Row],[Preço Dólar]]/L97)</f>
        <v>1.6162574626382351E-2</v>
      </c>
    </row>
    <row r="99" spans="1:13" x14ac:dyDescent="0.35">
      <c r="A99" s="1" t="s">
        <v>32</v>
      </c>
      <c r="B99" s="1" t="s">
        <v>14</v>
      </c>
      <c r="C99" s="6" t="s">
        <v>16</v>
      </c>
      <c r="D99" s="2">
        <v>29594000</v>
      </c>
      <c r="E99" s="1">
        <v>120.61</v>
      </c>
      <c r="F99" s="3">
        <v>0.44540000000000002</v>
      </c>
      <c r="G99" s="4">
        <v>44301</v>
      </c>
      <c r="H99" s="5">
        <v>16.38</v>
      </c>
      <c r="I99" s="7">
        <f>LN(Tab_dadosSafra[[#This Row],[Preço Açúcar NY]]/H98)</f>
        <v>0.10753354381157701</v>
      </c>
      <c r="J99" s="5">
        <f>VLOOKUP(Tab_dadosSafra[[#This Row],[Data]],[1]!Dados_Históricos___Etanol_Hidratado_Futuros[#Data],2,0)</f>
        <v>2690</v>
      </c>
      <c r="K99" s="7">
        <f>LN(Tab_dadosSafra[[#This Row],[Preço Etanol B3]]/J98)</f>
        <v>0.13512586545768013</v>
      </c>
      <c r="L99" s="1">
        <v>5.6162000000000001</v>
      </c>
      <c r="M99" s="7">
        <f>LN(Tab_dadosSafra[[#This Row],[Preço Dólar]]/L98)</f>
        <v>-1.6055735117030068E-2</v>
      </c>
    </row>
    <row r="100" spans="1:13" x14ac:dyDescent="0.35">
      <c r="A100" s="1" t="s">
        <v>32</v>
      </c>
      <c r="B100" s="1" t="s">
        <v>17</v>
      </c>
      <c r="C100" s="6" t="s">
        <v>15</v>
      </c>
      <c r="D100" s="2">
        <v>41065000</v>
      </c>
      <c r="E100" s="1">
        <v>131.57</v>
      </c>
      <c r="F100" s="3">
        <v>0.46150000000000002</v>
      </c>
      <c r="G100" s="4">
        <v>44319</v>
      </c>
      <c r="H100" s="5">
        <v>16.73</v>
      </c>
      <c r="I100" s="7">
        <f>LN(Tab_dadosSafra[[#This Row],[Preço Açúcar NY]]/H99)</f>
        <v>2.1142436573809383E-2</v>
      </c>
      <c r="J100" s="5">
        <f>VLOOKUP(Tab_dadosSafra[[#This Row],[Data]],[1]!Dados_Históricos___Etanol_Hidratado_Futuros[#Data],2,0)</f>
        <v>2770</v>
      </c>
      <c r="K100" s="7">
        <f>LN(Tab_dadosSafra[[#This Row],[Preço Etanol B3]]/J99)</f>
        <v>2.9306126585499487E-2</v>
      </c>
      <c r="L100" s="1">
        <v>5.4420000000000002</v>
      </c>
      <c r="M100" s="7">
        <f>LN(Tab_dadosSafra[[#This Row],[Preço Dólar]]/L99)</f>
        <v>-3.1508638263956619E-2</v>
      </c>
    </row>
    <row r="101" spans="1:13" x14ac:dyDescent="0.35">
      <c r="A101" s="1" t="s">
        <v>32</v>
      </c>
      <c r="B101" s="1" t="s">
        <v>17</v>
      </c>
      <c r="C101" s="6" t="s">
        <v>16</v>
      </c>
      <c r="D101" s="2">
        <v>44029000</v>
      </c>
      <c r="E101" s="1">
        <v>137.43</v>
      </c>
      <c r="F101" s="3">
        <v>0.46339999999999998</v>
      </c>
      <c r="G101" s="4">
        <v>44330</v>
      </c>
      <c r="H101" s="5">
        <v>16.96</v>
      </c>
      <c r="I101" s="7">
        <f>LN(Tab_dadosSafra[[#This Row],[Preço Açúcar NY]]/H100)</f>
        <v>1.3654115365024515E-2</v>
      </c>
      <c r="J101" s="5">
        <f>VLOOKUP(Tab_dadosSafra[[#This Row],[Data]],[1]!Dados_Históricos___Etanol_Hidratado_Futuros[#Data],2,0)</f>
        <v>2975</v>
      </c>
      <c r="K101" s="7">
        <f>LN(Tab_dadosSafra[[#This Row],[Preço Etanol B3]]/J100)</f>
        <v>7.1396718798345901E-2</v>
      </c>
      <c r="L101" s="1">
        <v>5.2728000000000002</v>
      </c>
      <c r="M101" s="7">
        <f>LN(Tab_dadosSafra[[#This Row],[Preço Dólar]]/L100)</f>
        <v>-3.1585109604681472E-2</v>
      </c>
    </row>
    <row r="102" spans="1:13" x14ac:dyDescent="0.35">
      <c r="A102" s="1" t="s">
        <v>32</v>
      </c>
      <c r="B102" s="1" t="s">
        <v>18</v>
      </c>
      <c r="C102" s="1" t="s">
        <v>15</v>
      </c>
      <c r="D102" s="2">
        <v>36459000</v>
      </c>
      <c r="E102" s="1">
        <v>138.35</v>
      </c>
      <c r="F102" s="3">
        <v>0.46250000000000002</v>
      </c>
      <c r="G102" s="4">
        <v>44348</v>
      </c>
      <c r="H102" s="5">
        <v>17.690000000000001</v>
      </c>
      <c r="I102" s="7">
        <f>LN(Tab_dadosSafra[[#This Row],[Preço Açúcar NY]]/H101)</f>
        <v>4.214187780793692E-2</v>
      </c>
      <c r="J102" s="5">
        <f>VLOOKUP(Tab_dadosSafra[[#This Row],[Data]],[1]!Dados_Históricos___Etanol_Hidratado_Futuros[#Data],2,0)</f>
        <v>2955</v>
      </c>
      <c r="K102" s="7">
        <f>LN(Tab_dadosSafra[[#This Row],[Preço Etanol B3]]/J101)</f>
        <v>-6.745388139531538E-3</v>
      </c>
      <c r="L102" s="1">
        <v>5.1509</v>
      </c>
      <c r="M102" s="7">
        <f>LN(Tab_dadosSafra[[#This Row],[Preço Dólar]]/L101)</f>
        <v>-2.3390074067449841E-2</v>
      </c>
    </row>
    <row r="103" spans="1:13" x14ac:dyDescent="0.35">
      <c r="A103" s="1" t="s">
        <v>32</v>
      </c>
      <c r="B103" s="1" t="s">
        <v>18</v>
      </c>
      <c r="C103" s="6" t="s">
        <v>16</v>
      </c>
      <c r="D103" s="2">
        <v>45412000</v>
      </c>
      <c r="E103" s="1">
        <v>141.81</v>
      </c>
      <c r="F103" s="3">
        <v>0.47560000000000002</v>
      </c>
      <c r="G103" s="4">
        <v>44362</v>
      </c>
      <c r="H103" s="5">
        <v>17.05</v>
      </c>
      <c r="I103" s="7">
        <f>LN(Tab_dadosSafra[[#This Row],[Preço Açúcar NY]]/H102)</f>
        <v>-3.68493044421681E-2</v>
      </c>
      <c r="J103" s="5">
        <f>VLOOKUP(Tab_dadosSafra[[#This Row],[Data]],[1]!Dados_Históricos___Etanol_Hidratado_Futuros[#Data],2,0)</f>
        <v>2900</v>
      </c>
      <c r="K103" s="7">
        <f>LN(Tab_dadosSafra[[#This Row],[Preço Etanol B3]]/J102)</f>
        <v>-1.8787913865633159E-2</v>
      </c>
      <c r="L103" s="1">
        <v>5.0437000000000003</v>
      </c>
      <c r="M103" s="7">
        <f>LN(Tab_dadosSafra[[#This Row],[Preço Dólar]]/L102)</f>
        <v>-2.1031516960921856E-2</v>
      </c>
    </row>
    <row r="104" spans="1:13" x14ac:dyDescent="0.35">
      <c r="A104" s="1" t="s">
        <v>32</v>
      </c>
      <c r="B104" s="1" t="s">
        <v>19</v>
      </c>
      <c r="C104" s="6" t="s">
        <v>15</v>
      </c>
      <c r="D104" s="2">
        <v>46146000</v>
      </c>
      <c r="E104" s="1">
        <v>143.63</v>
      </c>
      <c r="F104" s="3">
        <v>0.4713</v>
      </c>
      <c r="G104" s="4">
        <v>44378</v>
      </c>
      <c r="H104" s="5">
        <v>17.940000000000001</v>
      </c>
      <c r="I104" s="7">
        <f>LN(Tab_dadosSafra[[#This Row],[Preço Açúcar NY]]/H103)</f>
        <v>5.0882652901124301E-2</v>
      </c>
      <c r="J104" s="5">
        <f>VLOOKUP(Tab_dadosSafra[[#This Row],[Data]],[1]!Dados_Históricos___Etanol_Hidratado_Futuros[#Data],2,0)</f>
        <v>2900</v>
      </c>
      <c r="K104" s="7">
        <f>LN(Tab_dadosSafra[[#This Row],[Preço Etanol B3]]/J103)</f>
        <v>0</v>
      </c>
      <c r="L104" s="1">
        <v>5.0476000000000001</v>
      </c>
      <c r="M104" s="7">
        <f>LN(Tab_dadosSafra[[#This Row],[Preço Dólar]]/L103)</f>
        <v>7.7294306861722031E-4</v>
      </c>
    </row>
    <row r="105" spans="1:13" x14ac:dyDescent="0.35">
      <c r="A105" s="1" t="s">
        <v>32</v>
      </c>
      <c r="B105" s="1" t="s">
        <v>19</v>
      </c>
      <c r="C105" s="6" t="s">
        <v>16</v>
      </c>
      <c r="D105" s="2">
        <v>46890000</v>
      </c>
      <c r="E105" s="1">
        <v>146.86000000000001</v>
      </c>
      <c r="F105" s="3">
        <v>0.46429999999999999</v>
      </c>
      <c r="G105" s="4">
        <v>44392</v>
      </c>
      <c r="H105" s="5">
        <v>17.329999999999998</v>
      </c>
      <c r="I105" s="7">
        <f>LN(Tab_dadosSafra[[#This Row],[Preço Açúcar NY]]/H104)</f>
        <v>-3.4593752903135475E-2</v>
      </c>
      <c r="J105" s="5">
        <f>VLOOKUP(Tab_dadosSafra[[#This Row],[Data]],[1]!Dados_Históricos___Etanol_Hidratado_Futuros[#Data],2,0)</f>
        <v>3040</v>
      </c>
      <c r="K105" s="7">
        <f>LN(Tab_dadosSafra[[#This Row],[Preço Etanol B3]]/J104)</f>
        <v>4.7146778425702078E-2</v>
      </c>
      <c r="L105" s="1">
        <v>5.1100000000000003</v>
      </c>
      <c r="M105" s="7">
        <f>LN(Tab_dadosSafra[[#This Row],[Preço Dólar]]/L104)</f>
        <v>1.2286521418994518E-2</v>
      </c>
    </row>
    <row r="106" spans="1:13" x14ac:dyDescent="0.35">
      <c r="A106" s="1" t="s">
        <v>32</v>
      </c>
      <c r="B106" s="1" t="s">
        <v>20</v>
      </c>
      <c r="C106" s="1" t="s">
        <v>15</v>
      </c>
      <c r="D106" s="2">
        <v>44623000</v>
      </c>
      <c r="E106" s="1">
        <v>150.35</v>
      </c>
      <c r="F106" s="3">
        <v>0.46839999999999998</v>
      </c>
      <c r="G106" s="4">
        <v>44410</v>
      </c>
      <c r="H106" s="5">
        <v>17.95</v>
      </c>
      <c r="I106" s="7">
        <f>LN(Tab_dadosSafra[[#This Row],[Preço Açúcar NY]]/H105)</f>
        <v>3.5151011206773296E-2</v>
      </c>
      <c r="J106" s="5">
        <f>VLOOKUP(Tab_dadosSafra[[#This Row],[Data]],[1]!Dados_Históricos___Etanol_Hidratado_Futuros[#Data],2,0)</f>
        <v>3035</v>
      </c>
      <c r="K106" s="7">
        <f>LN(Tab_dadosSafra[[#This Row],[Preço Etanol B3]]/J105)</f>
        <v>-1.6460909066687917E-3</v>
      </c>
      <c r="L106" s="1">
        <v>5.1746999999999996</v>
      </c>
      <c r="M106" s="7">
        <f>LN(Tab_dadosSafra[[#This Row],[Preço Dólar]]/L105)</f>
        <v>1.2581962240942532E-2</v>
      </c>
    </row>
    <row r="107" spans="1:13" x14ac:dyDescent="0.35">
      <c r="A107" s="1" t="s">
        <v>32</v>
      </c>
      <c r="B107" s="1" t="s">
        <v>20</v>
      </c>
      <c r="C107" s="6" t="s">
        <v>16</v>
      </c>
      <c r="D107" s="2">
        <v>43126000</v>
      </c>
      <c r="E107" s="1">
        <v>154.85</v>
      </c>
      <c r="F107" s="3">
        <v>0.46429999999999999</v>
      </c>
      <c r="G107" s="4">
        <v>44424</v>
      </c>
      <c r="H107" s="5">
        <v>20.03</v>
      </c>
      <c r="I107" s="7">
        <f>LN(Tab_dadosSafra[[#This Row],[Preço Açúcar NY]]/H106)</f>
        <v>0.10964103474343918</v>
      </c>
      <c r="J107" s="5">
        <f>VLOOKUP(Tab_dadosSafra[[#This Row],[Data]],[1]!Dados_Históricos___Etanol_Hidratado_Futuros[#Data],2,0)</f>
        <v>3225</v>
      </c>
      <c r="K107" s="7">
        <f>LN(Tab_dadosSafra[[#This Row],[Preço Etanol B3]]/J106)</f>
        <v>6.0721525736274262E-2</v>
      </c>
      <c r="L107" s="1">
        <v>5.2595000000000001</v>
      </c>
      <c r="M107" s="7">
        <f>LN(Tab_dadosSafra[[#This Row],[Preço Dólar]]/L106)</f>
        <v>1.6254598740635933E-2</v>
      </c>
    </row>
    <row r="108" spans="1:13" x14ac:dyDescent="0.35">
      <c r="A108" s="1" t="s">
        <v>32</v>
      </c>
      <c r="B108" s="1" t="s">
        <v>21</v>
      </c>
      <c r="C108" s="6" t="s">
        <v>15</v>
      </c>
      <c r="D108" s="2">
        <v>38680000</v>
      </c>
      <c r="E108" s="1">
        <v>155.01</v>
      </c>
      <c r="F108" s="3">
        <v>0.44940000000000002</v>
      </c>
      <c r="G108" s="4">
        <v>44440</v>
      </c>
      <c r="H108" s="5">
        <v>19.670000000000002</v>
      </c>
      <c r="I108" s="7">
        <f>LN(Tab_dadosSafra[[#This Row],[Preço Açúcar NY]]/H107)</f>
        <v>-1.81365172767592E-2</v>
      </c>
      <c r="J108" s="5">
        <f>VLOOKUP(Tab_dadosSafra[[#This Row],[Data]],[1]!Dados_Históricos___Etanol_Hidratado_Futuros[#Data],2,0)</f>
        <v>3250</v>
      </c>
      <c r="K108" s="7">
        <f>LN(Tab_dadosSafra[[#This Row],[Preço Etanol B3]]/J107)</f>
        <v>7.7220460939103185E-3</v>
      </c>
      <c r="L108" s="1">
        <v>5.1858000000000004</v>
      </c>
      <c r="M108" s="7">
        <f>LN(Tab_dadosSafra[[#This Row],[Preço Dólar]]/L107)</f>
        <v>-1.4111844192681201E-2</v>
      </c>
    </row>
    <row r="109" spans="1:13" x14ac:dyDescent="0.35">
      <c r="A109" s="1" t="s">
        <v>32</v>
      </c>
      <c r="B109" s="1" t="s">
        <v>22</v>
      </c>
      <c r="C109" s="6" t="s">
        <v>16</v>
      </c>
      <c r="D109" s="2">
        <v>35988000</v>
      </c>
      <c r="E109" s="1">
        <v>155.58000000000001</v>
      </c>
      <c r="F109" s="3">
        <v>0.43709999999999999</v>
      </c>
      <c r="G109" s="4">
        <v>44454</v>
      </c>
      <c r="H109" s="5">
        <v>19.52</v>
      </c>
      <c r="I109" s="7">
        <f>LN(Tab_dadosSafra[[#This Row],[Preço Açúcar NY]]/H108)</f>
        <v>-7.6550514160214252E-3</v>
      </c>
      <c r="J109" s="5">
        <f>VLOOKUP(Tab_dadosSafra[[#This Row],[Data]],[1]!Dados_Históricos___Etanol_Hidratado_Futuros[#Data],2,0)</f>
        <v>3355</v>
      </c>
      <c r="K109" s="7">
        <f>LN(Tab_dadosSafra[[#This Row],[Preço Etanol B3]]/J108)</f>
        <v>3.179677408199906E-2</v>
      </c>
      <c r="L109" s="1">
        <v>5.2218999999999998</v>
      </c>
      <c r="M109" s="7">
        <f>LN(Tab_dadosSafra[[#This Row],[Preço Dólar]]/L108)</f>
        <v>6.9371993380143819E-3</v>
      </c>
    </row>
    <row r="110" spans="1:13" x14ac:dyDescent="0.35">
      <c r="A110" s="1" t="s">
        <v>32</v>
      </c>
      <c r="B110" s="1" t="s">
        <v>23</v>
      </c>
      <c r="C110" s="1" t="s">
        <v>15</v>
      </c>
      <c r="D110" s="2">
        <v>19687000</v>
      </c>
      <c r="E110" s="1">
        <v>156.19</v>
      </c>
      <c r="F110" s="3">
        <v>0.3911</v>
      </c>
      <c r="G110" s="4">
        <v>44470</v>
      </c>
      <c r="H110" s="5">
        <v>20.059999999999999</v>
      </c>
      <c r="I110" s="7">
        <f>LN(Tab_dadosSafra[[#This Row],[Preço Açúcar NY]]/H109)</f>
        <v>2.7288201548843035E-2</v>
      </c>
      <c r="J110" s="5">
        <f>VLOOKUP(Tab_dadosSafra[[#This Row],[Data]],[1]!Dados_Históricos___Etanol_Hidratado_Futuros[#Data],2,0)</f>
        <v>3360</v>
      </c>
      <c r="K110" s="7">
        <f>LN(Tab_dadosSafra[[#This Row],[Preço Etanol B3]]/J109)</f>
        <v>1.4892035514678331E-3</v>
      </c>
      <c r="L110" s="1">
        <v>5.3628</v>
      </c>
      <c r="M110" s="7">
        <f>LN(Tab_dadosSafra[[#This Row],[Preço Dólar]]/L109)</f>
        <v>2.6624906402744019E-2</v>
      </c>
    </row>
    <row r="111" spans="1:13" x14ac:dyDescent="0.35">
      <c r="A111" s="1" t="s">
        <v>32</v>
      </c>
      <c r="B111" s="1" t="s">
        <v>23</v>
      </c>
      <c r="C111" s="6" t="s">
        <v>16</v>
      </c>
      <c r="D111" s="2">
        <v>17023000</v>
      </c>
      <c r="E111" s="1">
        <v>142.82</v>
      </c>
      <c r="F111" s="3">
        <v>0.37040000000000001</v>
      </c>
      <c r="G111" s="4">
        <v>44484</v>
      </c>
      <c r="H111" s="5">
        <v>19.8</v>
      </c>
      <c r="I111" s="7">
        <f>LN(Tab_dadosSafra[[#This Row],[Preço Açúcar NY]]/H110)</f>
        <v>-1.30458448332998E-2</v>
      </c>
      <c r="J111" s="5">
        <f>VLOOKUP(Tab_dadosSafra[[#This Row],[Data]],[1]!Dados_Históricos___Etanol_Hidratado_Futuros[#Data],2,0)</f>
        <v>3485</v>
      </c>
      <c r="K111" s="7">
        <f>LN(Tab_dadosSafra[[#This Row],[Preço Etanol B3]]/J110)</f>
        <v>3.6527070237374323E-2</v>
      </c>
      <c r="L111" s="1">
        <v>5.4611000000000001</v>
      </c>
      <c r="M111" s="7">
        <f>LN(Tab_dadosSafra[[#This Row],[Preço Dólar]]/L110)</f>
        <v>1.8164007921621469E-2</v>
      </c>
    </row>
    <row r="112" spans="1:13" x14ac:dyDescent="0.35">
      <c r="A112" s="1" t="s">
        <v>32</v>
      </c>
      <c r="B112" s="1" t="s">
        <v>24</v>
      </c>
      <c r="C112" s="6" t="s">
        <v>15</v>
      </c>
      <c r="D112" s="2">
        <v>12583000</v>
      </c>
      <c r="E112" s="1">
        <v>136</v>
      </c>
      <c r="F112" s="3">
        <v>0.39229999999999998</v>
      </c>
      <c r="G112" s="4">
        <v>44501</v>
      </c>
      <c r="H112" s="5">
        <v>19.37</v>
      </c>
      <c r="I112" s="7">
        <f>LN(Tab_dadosSafra[[#This Row],[Preço Açúcar NY]]/H111)</f>
        <v>-2.1956460281585016E-2</v>
      </c>
      <c r="J112" s="5">
        <f>VLOOKUP(Tab_dadosSafra[[#This Row],[Data]],[1]!Dados_Históricos___Etanol_Hidratado_Futuros[#Data],2,0)</f>
        <v>3870</v>
      </c>
      <c r="K112" s="7">
        <f>LN(Tab_dadosSafra[[#This Row],[Preço Etanol B3]]/J111)</f>
        <v>0.10478646282920313</v>
      </c>
      <c r="L112" s="1">
        <v>5.6814999999999998</v>
      </c>
      <c r="M112" s="7">
        <f>LN(Tab_dadosSafra[[#This Row],[Preço Dólar]]/L111)</f>
        <v>3.9565047709036232E-2</v>
      </c>
    </row>
    <row r="113" spans="1:13" x14ac:dyDescent="0.35">
      <c r="A113" s="1" t="s">
        <v>32</v>
      </c>
      <c r="B113" s="1" t="s">
        <v>24</v>
      </c>
      <c r="C113" s="6" t="s">
        <v>16</v>
      </c>
      <c r="D113" s="2">
        <v>3879000</v>
      </c>
      <c r="E113" s="1">
        <v>134</v>
      </c>
      <c r="F113" s="3">
        <v>0.32450000000000001</v>
      </c>
      <c r="G113" s="4">
        <v>44515</v>
      </c>
      <c r="H113" s="5">
        <v>19.739999999999998</v>
      </c>
      <c r="I113" s="7">
        <f>LN(Tab_dadosSafra[[#This Row],[Preço Açúcar NY]]/H112)</f>
        <v>1.8921556586430896E-2</v>
      </c>
      <c r="J113" s="5">
        <v>0</v>
      </c>
      <c r="K113" s="7">
        <v>0</v>
      </c>
      <c r="L113" s="1">
        <v>5.4574999999999996</v>
      </c>
      <c r="M113" s="7">
        <f>LN(Tab_dadosSafra[[#This Row],[Preço Dólar]]/L112)</f>
        <v>-4.0224472933964854E-2</v>
      </c>
    </row>
    <row r="114" spans="1:13" x14ac:dyDescent="0.35">
      <c r="A114" s="1" t="s">
        <v>32</v>
      </c>
      <c r="B114" s="1" t="s">
        <v>25</v>
      </c>
      <c r="C114" s="1" t="s">
        <v>15</v>
      </c>
      <c r="D114" s="2">
        <v>766000</v>
      </c>
      <c r="E114" s="1">
        <v>133</v>
      </c>
      <c r="F114" s="3">
        <v>0.20230000000000001</v>
      </c>
      <c r="G114" s="4">
        <v>44531</v>
      </c>
      <c r="H114" s="5">
        <v>18.600000000000001</v>
      </c>
      <c r="I114" s="7">
        <f>LN(Tab_dadosSafra[[#This Row],[Preço Açúcar NY]]/H113)</f>
        <v>-5.9485453286179761E-2</v>
      </c>
      <c r="J114" s="5">
        <f>VLOOKUP(Tab_dadosSafra[[#This Row],[Data]],[1]!Dados_Históricos___Etanol_Hidratado_Futuros[#Data],2,0)</f>
        <v>3490</v>
      </c>
      <c r="K114" s="7">
        <v>0</v>
      </c>
      <c r="L114" s="1">
        <v>5.6955</v>
      </c>
      <c r="M114" s="7">
        <f>LN(Tab_dadosSafra[[#This Row],[Preço Dólar]]/L113)</f>
        <v>4.2685579915867806E-2</v>
      </c>
    </row>
    <row r="115" spans="1:13" x14ac:dyDescent="0.35">
      <c r="A115" s="1" t="s">
        <v>32</v>
      </c>
      <c r="B115" s="1" t="s">
        <v>25</v>
      </c>
      <c r="C115" s="6" t="s">
        <v>16</v>
      </c>
      <c r="D115" s="2">
        <v>8000</v>
      </c>
      <c r="E115" s="1">
        <v>130</v>
      </c>
      <c r="F115" s="3">
        <v>0</v>
      </c>
      <c r="G115" s="4">
        <v>44545</v>
      </c>
      <c r="H115" s="5">
        <v>19.29</v>
      </c>
      <c r="I115" s="7">
        <f>LN(Tab_dadosSafra[[#This Row],[Preço Açúcar NY]]/H114)</f>
        <v>3.6425246198481948E-2</v>
      </c>
      <c r="J115" s="5">
        <f>VLOOKUP(Tab_dadosSafra[[#This Row],[Data]],[1]!Dados_Históricos___Etanol_Hidratado_Futuros[#Data],2,0)</f>
        <v>3425</v>
      </c>
      <c r="K115" s="7">
        <f>LN(Tab_dadosSafra[[#This Row],[Preço Etanol B3]]/J114)</f>
        <v>-1.8800264500147146E-2</v>
      </c>
      <c r="L115" s="1">
        <v>5.6806000000000001</v>
      </c>
      <c r="M115" s="7">
        <f>LN(Tab_dadosSafra[[#This Row],[Preço Dólar]]/L114)</f>
        <v>-2.6195284008100187E-3</v>
      </c>
    </row>
    <row r="116" spans="1:13" x14ac:dyDescent="0.35">
      <c r="A116" s="1" t="s">
        <v>32</v>
      </c>
      <c r="B116" s="1" t="s">
        <v>26</v>
      </c>
      <c r="C116" s="6" t="s">
        <v>15</v>
      </c>
      <c r="D116" s="2">
        <v>0</v>
      </c>
      <c r="E116" s="1">
        <v>3</v>
      </c>
      <c r="F116" s="3">
        <v>0</v>
      </c>
      <c r="G116" s="4">
        <v>44564</v>
      </c>
      <c r="H116" s="5">
        <v>18.739999999999998</v>
      </c>
      <c r="I116" s="7">
        <f>LN(Tab_dadosSafra[[#This Row],[Preço Açúcar NY]]/H115)</f>
        <v>-2.8926550107361663E-2</v>
      </c>
      <c r="J116" s="5">
        <f>VLOOKUP(Tab_dadosSafra[[#This Row],[Data]],[1]!Dados_Históricos___Etanol_Hidratado_Futuros[#Data],2,0)</f>
        <v>3350</v>
      </c>
      <c r="K116" s="7">
        <f>LN(Tab_dadosSafra[[#This Row],[Preço Etanol B3]]/J115)</f>
        <v>-2.2141125877213518E-2</v>
      </c>
      <c r="L116" s="1">
        <v>5.6818</v>
      </c>
      <c r="M116" s="7">
        <f>LN(Tab_dadosSafra[[#This Row],[Preço Dólar]]/L115)</f>
        <v>2.1122298184563255E-4</v>
      </c>
    </row>
    <row r="117" spans="1:13" x14ac:dyDescent="0.35">
      <c r="A117" s="1" t="s">
        <v>32</v>
      </c>
      <c r="B117" s="1" t="s">
        <v>26</v>
      </c>
      <c r="C117" s="6" t="s">
        <v>16</v>
      </c>
      <c r="D117" s="2">
        <v>0</v>
      </c>
      <c r="E117" s="1">
        <v>110</v>
      </c>
      <c r="F117" s="3">
        <v>0</v>
      </c>
      <c r="G117" s="4">
        <v>44575</v>
      </c>
      <c r="H117" s="5">
        <v>18.309999999999999</v>
      </c>
      <c r="I117" s="7">
        <f>LN(Tab_dadosSafra[[#This Row],[Preço Açúcar NY]]/H116)</f>
        <v>-2.3212918123856813E-2</v>
      </c>
      <c r="J117" s="5">
        <f>VLOOKUP(Tab_dadosSafra[[#This Row],[Data]],[1]!Dados_Históricos___Etanol_Hidratado_Futuros[#Data],2,0)</f>
        <v>3275</v>
      </c>
      <c r="K117" s="7">
        <f>LN(Tab_dadosSafra[[#This Row],[Preço Etanol B3]]/J116)</f>
        <v>-2.2642476749759777E-2</v>
      </c>
      <c r="L117" s="1">
        <v>5.5343999999999998</v>
      </c>
      <c r="M117" s="7">
        <f>LN(Tab_dadosSafra[[#This Row],[Preço Dólar]]/L116)</f>
        <v>-2.6284924738098098E-2</v>
      </c>
    </row>
    <row r="118" spans="1:13" x14ac:dyDescent="0.35">
      <c r="A118" s="1" t="s">
        <v>32</v>
      </c>
      <c r="B118" s="1" t="s">
        <v>27</v>
      </c>
      <c r="C118" s="1" t="s">
        <v>15</v>
      </c>
      <c r="D118" s="2">
        <v>0</v>
      </c>
      <c r="E118" s="1">
        <v>0</v>
      </c>
      <c r="F118" s="3">
        <v>1</v>
      </c>
      <c r="G118" s="4">
        <v>44593</v>
      </c>
      <c r="H118" s="5">
        <v>18.48</v>
      </c>
      <c r="I118" s="7">
        <f>LN(Tab_dadosSafra[[#This Row],[Preço Açúcar NY]]/H117)</f>
        <v>9.2417075271187445E-3</v>
      </c>
      <c r="J118" s="5">
        <f>VLOOKUP(Tab_dadosSafra[[#This Row],[Data]],[1]!Dados_Históricos___Etanol_Hidratado_Futuros[#Data],2,0)</f>
        <v>2920</v>
      </c>
      <c r="K118" s="7">
        <f>LN(Tab_dadosSafra[[#This Row],[Preço Etanol B3]]/J117)</f>
        <v>-0.11473425280702489</v>
      </c>
      <c r="L118" s="1">
        <v>5.2655000000000003</v>
      </c>
      <c r="M118" s="7">
        <f>LN(Tab_dadosSafra[[#This Row],[Preço Dólar]]/L117)</f>
        <v>-4.9807051362252303E-2</v>
      </c>
    </row>
    <row r="119" spans="1:13" x14ac:dyDescent="0.35">
      <c r="A119" s="1" t="s">
        <v>32</v>
      </c>
      <c r="B119" s="1" t="s">
        <v>27</v>
      </c>
      <c r="C119" s="6" t="s">
        <v>16</v>
      </c>
      <c r="D119" s="2">
        <v>159000</v>
      </c>
      <c r="E119" s="1">
        <v>0</v>
      </c>
      <c r="F119" s="3">
        <v>0</v>
      </c>
      <c r="G119" s="4">
        <v>44607</v>
      </c>
      <c r="H119" s="5">
        <v>18.07</v>
      </c>
      <c r="I119" s="7">
        <f>LN(Tab_dadosSafra[[#This Row],[Preço Açúcar NY]]/H118)</f>
        <v>-2.2435961609400989E-2</v>
      </c>
      <c r="J119" s="5">
        <f>VLOOKUP(Tab_dadosSafra[[#This Row],[Data]],[1]!Dados_Históricos___Etanol_Hidratado_Futuros[#Data],2,0)</f>
        <v>3015</v>
      </c>
      <c r="K119" s="7">
        <v>0</v>
      </c>
      <c r="L119" s="1">
        <v>5.1589999999999998</v>
      </c>
      <c r="M119" s="7">
        <f>LN(Tab_dadosSafra[[#This Row],[Preço Dólar]]/L118)</f>
        <v>-2.0433345576002029E-2</v>
      </c>
    </row>
    <row r="120" spans="1:13" x14ac:dyDescent="0.35">
      <c r="A120" s="1" t="s">
        <v>32</v>
      </c>
      <c r="B120" s="1" t="s">
        <v>28</v>
      </c>
      <c r="C120" s="6" t="s">
        <v>15</v>
      </c>
      <c r="D120" s="2">
        <v>142000</v>
      </c>
      <c r="E120" s="1">
        <v>0</v>
      </c>
      <c r="F120" s="3">
        <v>1</v>
      </c>
      <c r="G120" s="4">
        <v>44621</v>
      </c>
      <c r="H120" s="5">
        <v>18.34</v>
      </c>
      <c r="I120" s="7">
        <f>LN(Tab_dadosSafra[[#This Row],[Preço Açúcar NY]]/H119)</f>
        <v>1.4831362224181742E-2</v>
      </c>
      <c r="J120" s="5">
        <v>0</v>
      </c>
      <c r="K120" s="7">
        <v>0</v>
      </c>
      <c r="L120" s="1">
        <v>5.1595000000000004</v>
      </c>
      <c r="M120" s="7">
        <f>LN(Tab_dadosSafra[[#This Row],[Preço Dólar]]/L119)</f>
        <v>9.6913311119131636E-5</v>
      </c>
    </row>
    <row r="121" spans="1:13" x14ac:dyDescent="0.35">
      <c r="A121" s="1" t="s">
        <v>32</v>
      </c>
      <c r="B121" s="1" t="s">
        <v>28</v>
      </c>
      <c r="C121" s="6" t="s">
        <v>16</v>
      </c>
      <c r="D121" s="2">
        <v>1181000</v>
      </c>
      <c r="E121" s="1">
        <v>119</v>
      </c>
      <c r="F121" s="3">
        <v>0.1104</v>
      </c>
      <c r="G121" s="4">
        <v>44635</v>
      </c>
      <c r="H121" s="5">
        <v>18.73</v>
      </c>
      <c r="I121" s="7">
        <f>LN(Tab_dadosSafra[[#This Row],[Preço Açúcar NY]]/H120)</f>
        <v>2.1042049627678305E-2</v>
      </c>
      <c r="J121" s="5">
        <f>VLOOKUP(Tab_dadosSafra[[#This Row],[Data]],[1]!Dados_Históricos___Etanol_Hidratado_Futuros[#Data],2,0)</f>
        <v>3282.5</v>
      </c>
      <c r="K121" s="7">
        <v>0</v>
      </c>
      <c r="L121" s="1">
        <v>5.1631</v>
      </c>
      <c r="M121" s="7">
        <f>LN(Tab_dadosSafra[[#This Row],[Preço Dólar]]/L120)</f>
        <v>6.9749872046799295E-4</v>
      </c>
    </row>
    <row r="122" spans="1:13" x14ac:dyDescent="0.35">
      <c r="A122" s="1" t="s">
        <v>33</v>
      </c>
      <c r="B122" s="1" t="s">
        <v>14</v>
      </c>
      <c r="C122" s="1" t="s">
        <v>15</v>
      </c>
      <c r="D122" s="2">
        <v>5287000</v>
      </c>
      <c r="E122" s="1">
        <v>98.66</v>
      </c>
      <c r="F122" s="3">
        <v>0.26400000000000001</v>
      </c>
      <c r="G122" s="4">
        <v>44652</v>
      </c>
      <c r="H122" s="5">
        <v>19.37</v>
      </c>
      <c r="I122" s="7">
        <f>LN(Tab_dadosSafra[[#This Row],[Preço Açúcar NY]]/H121)</f>
        <v>3.3598960962907348E-2</v>
      </c>
      <c r="J122" s="5">
        <f>VLOOKUP(Tab_dadosSafra[[#This Row],[Data]],[1]!Dados_Históricos___Etanol_Hidratado_Futuros[#Data],2,0)</f>
        <v>3182</v>
      </c>
      <c r="K122" s="7">
        <f>LN(Tab_dadosSafra[[#This Row],[Preço Etanol B3]]/J121)</f>
        <v>-3.1095397279219131E-2</v>
      </c>
      <c r="L122" s="1">
        <v>4.6574999999999998</v>
      </c>
      <c r="M122" s="7">
        <f>LN(Tab_dadosSafra[[#This Row],[Preço Dólar]]/L121)</f>
        <v>-0.10305835080049355</v>
      </c>
    </row>
    <row r="123" spans="1:13" x14ac:dyDescent="0.35">
      <c r="A123" s="1" t="s">
        <v>33</v>
      </c>
      <c r="B123" s="1" t="s">
        <v>14</v>
      </c>
      <c r="C123" s="6" t="s">
        <v>16</v>
      </c>
      <c r="D123" s="2">
        <v>23823000</v>
      </c>
      <c r="E123" s="1">
        <v>110.64</v>
      </c>
      <c r="F123" s="3">
        <v>0.372</v>
      </c>
      <c r="G123" s="4">
        <v>44665</v>
      </c>
      <c r="H123" s="5">
        <v>20.059999999999999</v>
      </c>
      <c r="I123" s="7">
        <f>LN(Tab_dadosSafra[[#This Row],[Preço Açúcar NY]]/H122)</f>
        <v>3.5002305114884773E-2</v>
      </c>
      <c r="J123" s="5">
        <f>VLOOKUP(Tab_dadosSafra[[#This Row],[Data]],[1]!Dados_Históricos___Etanol_Hidratado_Futuros[#Data],2,0)</f>
        <v>3500</v>
      </c>
      <c r="K123" s="7">
        <f>LN(Tab_dadosSafra[[#This Row],[Preço Etanol B3]]/J122)</f>
        <v>9.5253038579772895E-2</v>
      </c>
      <c r="L123" s="1">
        <v>4.7012999999999998</v>
      </c>
      <c r="M123" s="7">
        <f>LN(Tab_dadosSafra[[#This Row],[Preço Dólar]]/L122)</f>
        <v>9.3602427215366251E-3</v>
      </c>
    </row>
    <row r="124" spans="1:13" x14ac:dyDescent="0.35">
      <c r="A124" s="1" t="s">
        <v>33</v>
      </c>
      <c r="B124" s="1" t="s">
        <v>17</v>
      </c>
      <c r="C124" s="6" t="s">
        <v>15</v>
      </c>
      <c r="D124" s="2">
        <v>34371000</v>
      </c>
      <c r="E124" s="1">
        <v>124.95</v>
      </c>
      <c r="F124" s="3">
        <v>0.40770000000000001</v>
      </c>
      <c r="G124" s="4">
        <v>44683</v>
      </c>
      <c r="H124" s="5">
        <v>18.850000000000001</v>
      </c>
      <c r="I124" s="7">
        <f>LN(Tab_dadosSafra[[#This Row],[Preço Açúcar NY]]/H123)</f>
        <v>-6.2214868639769522E-2</v>
      </c>
      <c r="J124" s="5">
        <f>VLOOKUP(Tab_dadosSafra[[#This Row],[Data]],[1]!Dados_Históricos___Etanol_Hidratado_Futuros[#Data],2,0)</f>
        <v>3270</v>
      </c>
      <c r="K124" s="7">
        <f>LN(Tab_dadosSafra[[#This Row],[Preço Etanol B3]]/J123)</f>
        <v>-6.7972983586205987E-2</v>
      </c>
      <c r="L124" s="1">
        <v>5.0848000000000004</v>
      </c>
      <c r="M124" s="7">
        <f>LN(Tab_dadosSafra[[#This Row],[Preço Dólar]]/L123)</f>
        <v>7.8416631145117044E-2</v>
      </c>
    </row>
    <row r="125" spans="1:13" x14ac:dyDescent="0.35">
      <c r="A125" s="1" t="s">
        <v>33</v>
      </c>
      <c r="B125" s="1" t="s">
        <v>17</v>
      </c>
      <c r="C125" s="6" t="s">
        <v>16</v>
      </c>
      <c r="D125" s="2">
        <v>43692000</v>
      </c>
      <c r="E125" s="1">
        <v>128.63999999999999</v>
      </c>
      <c r="F125" s="3">
        <v>0.43159999999999998</v>
      </c>
      <c r="G125" s="4">
        <v>44697</v>
      </c>
      <c r="H125" s="5">
        <v>19.68</v>
      </c>
      <c r="I125" s="7">
        <f>LN(Tab_dadosSafra[[#This Row],[Preço Açúcar NY]]/H124)</f>
        <v>4.3089977730087402E-2</v>
      </c>
      <c r="J125" s="5">
        <f>VLOOKUP(Tab_dadosSafra[[#This Row],[Data]],[1]!Dados_Históricos___Etanol_Hidratado_Futuros[#Data],2,0)</f>
        <v>3422.5</v>
      </c>
      <c r="K125" s="7">
        <f>LN(Tab_dadosSafra[[#This Row],[Preço Etanol B3]]/J124)</f>
        <v>4.5581293271304807E-2</v>
      </c>
      <c r="L125" s="1">
        <v>5.0598999999999998</v>
      </c>
      <c r="M125" s="7">
        <f>LN(Tab_dadosSafra[[#This Row],[Preço Dólar]]/L124)</f>
        <v>-4.9089771020230898E-3</v>
      </c>
    </row>
    <row r="126" spans="1:13" x14ac:dyDescent="0.35">
      <c r="A126" s="1" t="s">
        <v>33</v>
      </c>
      <c r="B126" s="1" t="s">
        <v>18</v>
      </c>
      <c r="C126" s="1" t="s">
        <v>15</v>
      </c>
      <c r="D126" s="2">
        <v>38598000</v>
      </c>
      <c r="E126" s="1">
        <v>131.04</v>
      </c>
      <c r="F126" s="3">
        <v>0.44440000000000002</v>
      </c>
      <c r="G126" s="4">
        <v>44713</v>
      </c>
      <c r="H126" s="5">
        <v>19.440000000000001</v>
      </c>
      <c r="I126" s="7">
        <f>LN(Tab_dadosSafra[[#This Row],[Preço Açúcar NY]]/H125)</f>
        <v>-1.2270092591814247E-2</v>
      </c>
      <c r="J126" s="5">
        <f>VLOOKUP(Tab_dadosSafra[[#This Row],[Data]],[1]!Dados_Históricos___Etanol_Hidratado_Futuros[#Data],2,0)</f>
        <v>3125</v>
      </c>
      <c r="K126" s="7">
        <f>LN(Tab_dadosSafra[[#This Row],[Preço Etanol B3]]/J125)</f>
        <v>-9.0936994992102047E-2</v>
      </c>
      <c r="L126" s="1">
        <v>4.8151000000000002</v>
      </c>
      <c r="M126" s="7">
        <f>LN(Tab_dadosSafra[[#This Row],[Preço Dólar]]/L125)</f>
        <v>-4.9589906791825303E-2</v>
      </c>
    </row>
    <row r="127" spans="1:13" x14ac:dyDescent="0.35">
      <c r="A127" s="1" t="s">
        <v>33</v>
      </c>
      <c r="B127" s="1" t="s">
        <v>18</v>
      </c>
      <c r="C127" s="6" t="s">
        <v>16</v>
      </c>
      <c r="D127" s="2">
        <v>41876000</v>
      </c>
      <c r="E127" s="1">
        <v>137.08000000000001</v>
      </c>
      <c r="F127" s="3">
        <v>0.4546</v>
      </c>
      <c r="G127" s="4">
        <v>44727</v>
      </c>
      <c r="H127" s="5">
        <v>18.46</v>
      </c>
      <c r="I127" s="7">
        <f>LN(Tab_dadosSafra[[#This Row],[Preço Açúcar NY]]/H126)</f>
        <v>-5.1726569957586885E-2</v>
      </c>
      <c r="J127" s="5">
        <f>VLOOKUP(Tab_dadosSafra[[#This Row],[Data]],[1]!Dados_Históricos___Etanol_Hidratado_Futuros[#Data],2,0)</f>
        <v>3047.5</v>
      </c>
      <c r="K127" s="7">
        <f>LN(Tab_dadosSafra[[#This Row],[Preço Etanol B3]]/J126)</f>
        <v>-2.5112700815075328E-2</v>
      </c>
      <c r="L127" s="1">
        <v>5.0536000000000003</v>
      </c>
      <c r="M127" s="7">
        <f>LN(Tab_dadosSafra[[#This Row],[Preço Dólar]]/L126)</f>
        <v>4.8344047135942161E-2</v>
      </c>
    </row>
    <row r="128" spans="1:13" x14ac:dyDescent="0.35">
      <c r="A128" s="1" t="s">
        <v>33</v>
      </c>
      <c r="B128" s="1" t="s">
        <v>19</v>
      </c>
      <c r="C128" s="6" t="s">
        <v>15</v>
      </c>
      <c r="D128" s="2">
        <v>46946000</v>
      </c>
      <c r="E128" s="1">
        <v>143.19</v>
      </c>
      <c r="F128" s="3">
        <v>0.47070000000000001</v>
      </c>
      <c r="G128" s="4">
        <v>44743</v>
      </c>
      <c r="H128" s="5">
        <v>18.07</v>
      </c>
      <c r="I128" s="7">
        <f>LN(Tab_dadosSafra[[#This Row],[Preço Açúcar NY]]/H127)</f>
        <v>-2.1353124470569057E-2</v>
      </c>
      <c r="J128" s="5">
        <f>VLOOKUP(Tab_dadosSafra[[#This Row],[Data]],[1]!Dados_Históricos___Etanol_Hidratado_Futuros[#Data],2,0)</f>
        <v>2900</v>
      </c>
      <c r="K128" s="7">
        <f>LN(Tab_dadosSafra[[#This Row],[Preço Etanol B3]]/J127)</f>
        <v>-4.9610845380861232E-2</v>
      </c>
      <c r="L128" s="1">
        <v>5.3310000000000004</v>
      </c>
      <c r="M128" s="7">
        <f>LN(Tab_dadosSafra[[#This Row],[Preço Dólar]]/L127)</f>
        <v>5.343797723827047E-2</v>
      </c>
    </row>
    <row r="129" spans="1:13" x14ac:dyDescent="0.35">
      <c r="A129" s="1" t="s">
        <v>33</v>
      </c>
      <c r="B129" s="1" t="s">
        <v>19</v>
      </c>
      <c r="C129" s="6" t="s">
        <v>16</v>
      </c>
      <c r="D129" s="2">
        <v>48931000</v>
      </c>
      <c r="E129" s="1">
        <v>148.26</v>
      </c>
      <c r="F129" s="3">
        <v>0.47770000000000001</v>
      </c>
      <c r="G129" s="4">
        <v>44757</v>
      </c>
      <c r="H129" s="5">
        <v>19.25</v>
      </c>
      <c r="I129" s="7">
        <f>LN(Tab_dadosSafra[[#This Row],[Preço Açúcar NY]]/H128)</f>
        <v>6.3257956129656095E-2</v>
      </c>
      <c r="J129" s="5">
        <f>VLOOKUP(Tab_dadosSafra[[#This Row],[Data]],[1]!Dados_Históricos___Etanol_Hidratado_Futuros[#Data],2,0)</f>
        <v>3020</v>
      </c>
      <c r="K129" s="7">
        <f>LN(Tab_dadosSafra[[#This Row],[Preço Etanol B3]]/J128)</f>
        <v>4.0546094394350009E-2</v>
      </c>
      <c r="L129" s="1">
        <v>5.4081999999999999</v>
      </c>
      <c r="M129" s="7">
        <f>LN(Tab_dadosSafra[[#This Row],[Preço Dólar]]/L128)</f>
        <v>1.4377482464733152E-2</v>
      </c>
    </row>
    <row r="130" spans="1:13" x14ac:dyDescent="0.35">
      <c r="A130" s="1" t="s">
        <v>33</v>
      </c>
      <c r="B130" s="1" t="s">
        <v>20</v>
      </c>
      <c r="C130" s="1" t="s">
        <v>15</v>
      </c>
      <c r="D130" s="2">
        <v>38621000</v>
      </c>
      <c r="E130" s="1">
        <v>152.5</v>
      </c>
      <c r="F130" s="3">
        <v>0.46949999999999997</v>
      </c>
      <c r="G130" s="4">
        <v>44774</v>
      </c>
      <c r="H130" s="5">
        <v>17.600000000000001</v>
      </c>
      <c r="I130" s="7">
        <f>LN(Tab_dadosSafra[[#This Row],[Preço Açúcar NY]]/H129)</f>
        <v>-8.9612158689687041E-2</v>
      </c>
      <c r="J130" s="5">
        <f>VLOOKUP(Tab_dadosSafra[[#This Row],[Data]],[1]!Dados_Históricos___Etanol_Hidratado_Futuros[#Data],2,0)</f>
        <v>2900</v>
      </c>
      <c r="K130" s="7">
        <f>LN(Tab_dadosSafra[[#This Row],[Preço Etanol B3]]/J129)</f>
        <v>-4.0546094394349905E-2</v>
      </c>
      <c r="L130" s="1">
        <v>5.1837999999999997</v>
      </c>
      <c r="M130" s="7">
        <f>LN(Tab_dadosSafra[[#This Row],[Preço Dólar]]/L129)</f>
        <v>-4.2377942246534135E-2</v>
      </c>
    </row>
    <row r="131" spans="1:13" x14ac:dyDescent="0.35">
      <c r="A131" s="1" t="s">
        <v>33</v>
      </c>
      <c r="B131" s="1" t="s">
        <v>20</v>
      </c>
      <c r="C131" s="6" t="s">
        <v>16</v>
      </c>
      <c r="D131" s="2">
        <v>44026000</v>
      </c>
      <c r="E131" s="1">
        <v>154.46</v>
      </c>
      <c r="F131" s="3">
        <v>0.48449999999999999</v>
      </c>
      <c r="G131" s="4">
        <v>44788</v>
      </c>
      <c r="H131" s="5">
        <v>18.54</v>
      </c>
      <c r="I131" s="7">
        <f>LN(Tab_dadosSafra[[#This Row],[Preço Açúcar NY]]/H130)</f>
        <v>5.2031658093602835E-2</v>
      </c>
      <c r="J131" s="5">
        <f>VLOOKUP(Tab_dadosSafra[[#This Row],[Data]],[1]!Dados_Históricos___Etanol_Hidratado_Futuros[#Data],2,0)</f>
        <v>2705</v>
      </c>
      <c r="K131" s="7">
        <f>LN(Tab_dadosSafra[[#This Row],[Preço Etanol B3]]/J130)</f>
        <v>-6.9608824693983468E-2</v>
      </c>
      <c r="L131" s="1">
        <v>5.0960999999999999</v>
      </c>
      <c r="M131" s="7">
        <f>LN(Tab_dadosSafra[[#This Row],[Preço Dólar]]/L130)</f>
        <v>-1.7062836747585044E-2</v>
      </c>
    </row>
    <row r="132" spans="1:13" x14ac:dyDescent="0.35">
      <c r="A132" s="1" t="s">
        <v>33</v>
      </c>
      <c r="B132" s="1" t="s">
        <v>21</v>
      </c>
      <c r="C132" s="6" t="s">
        <v>15</v>
      </c>
      <c r="D132" s="2">
        <v>39489000</v>
      </c>
      <c r="E132" s="1">
        <v>158.52000000000001</v>
      </c>
      <c r="F132" s="3">
        <v>0.48020000000000002</v>
      </c>
      <c r="G132" s="4">
        <v>44805</v>
      </c>
      <c r="H132" s="5">
        <v>17.989999999999998</v>
      </c>
      <c r="I132" s="7">
        <f>LN(Tab_dadosSafra[[#This Row],[Preço Açúcar NY]]/H131)</f>
        <v>-3.0114512175267359E-2</v>
      </c>
      <c r="J132" s="5">
        <f>VLOOKUP(Tab_dadosSafra[[#This Row],[Data]],[1]!Dados_Históricos___Etanol_Hidratado_Futuros[#Data],2,0)</f>
        <v>2275</v>
      </c>
      <c r="K132" s="7">
        <f>LN(Tab_dadosSafra[[#This Row],[Preço Etanol B3]]/J131)</f>
        <v>-0.17312185989553111</v>
      </c>
      <c r="L132" s="1">
        <v>5.2416</v>
      </c>
      <c r="M132" s="7">
        <f>LN(Tab_dadosSafra[[#This Row],[Preço Dólar]]/L131)</f>
        <v>2.8151253925320644E-2</v>
      </c>
    </row>
    <row r="133" spans="1:13" x14ac:dyDescent="0.35">
      <c r="A133" s="1" t="s">
        <v>33</v>
      </c>
      <c r="B133" s="1" t="s">
        <v>22</v>
      </c>
      <c r="C133" s="6" t="s">
        <v>16</v>
      </c>
      <c r="D133" s="2">
        <v>25887000</v>
      </c>
      <c r="E133" s="1">
        <v>156</v>
      </c>
      <c r="F133" s="3">
        <v>0.46500000000000002</v>
      </c>
      <c r="G133" s="4">
        <v>44819</v>
      </c>
      <c r="H133" s="5">
        <v>18.18</v>
      </c>
      <c r="I133" s="7">
        <f>LN(Tab_dadosSafra[[#This Row],[Preço Açúcar NY]]/H132)</f>
        <v>1.0506040786891003E-2</v>
      </c>
      <c r="J133" s="5">
        <f>VLOOKUP(Tab_dadosSafra[[#This Row],[Data]],[1]!Dados_Históricos___Etanol_Hidratado_Futuros[#Data],2,0)</f>
        <v>2500</v>
      </c>
      <c r="K133" s="7">
        <f>LN(Tab_dadosSafra[[#This Row],[Preço Etanol B3]]/J132)</f>
        <v>9.4310679471241415E-2</v>
      </c>
      <c r="L133" s="1">
        <v>5.2469999999999999</v>
      </c>
      <c r="M133" s="7">
        <f>LN(Tab_dadosSafra[[#This Row],[Preço Dólar]]/L132)</f>
        <v>1.02968946801605E-3</v>
      </c>
    </row>
    <row r="134" spans="1:13" x14ac:dyDescent="0.35">
      <c r="A134" s="1" t="s">
        <v>33</v>
      </c>
      <c r="B134" s="1" t="s">
        <v>23</v>
      </c>
      <c r="C134" s="1" t="s">
        <v>15</v>
      </c>
      <c r="D134" s="2">
        <v>27686000</v>
      </c>
      <c r="E134" s="1">
        <v>144.4</v>
      </c>
      <c r="F134" s="3">
        <v>0.48270000000000002</v>
      </c>
      <c r="G134" s="4">
        <v>44837</v>
      </c>
      <c r="H134" s="5">
        <v>17.420000000000002</v>
      </c>
      <c r="I134" s="7">
        <f>LN(Tab_dadosSafra[[#This Row],[Preço Açúcar NY]]/H133)</f>
        <v>-4.2703117324975906E-2</v>
      </c>
      <c r="J134" s="5">
        <f>VLOOKUP(Tab_dadosSafra[[#This Row],[Data]],[1]!Dados_Históricos___Etanol_Hidratado_Futuros[#Data],2,0)</f>
        <v>2620</v>
      </c>
      <c r="K134" s="7">
        <f>LN(Tab_dadosSafra[[#This Row],[Preço Etanol B3]]/J133)</f>
        <v>4.6883585898850458E-2</v>
      </c>
      <c r="L134" s="1">
        <v>5.1672000000000002</v>
      </c>
      <c r="M134" s="7">
        <f>LN(Tab_dadosSafra[[#This Row],[Preço Dólar]]/L133)</f>
        <v>-1.5325528968448771E-2</v>
      </c>
    </row>
    <row r="135" spans="1:13" x14ac:dyDescent="0.35">
      <c r="A135" s="1" t="s">
        <v>33</v>
      </c>
      <c r="B135" s="1" t="s">
        <v>23</v>
      </c>
      <c r="C135" s="6" t="s">
        <v>16</v>
      </c>
      <c r="D135" s="2">
        <v>32218000</v>
      </c>
      <c r="E135" s="1">
        <v>145.13</v>
      </c>
      <c r="F135" s="3">
        <v>0.4854</v>
      </c>
      <c r="G135" s="4">
        <v>44848</v>
      </c>
      <c r="H135" s="5">
        <v>18.84</v>
      </c>
      <c r="I135" s="7">
        <f>LN(Tab_dadosSafra[[#This Row],[Preço Açúcar NY]]/H134)</f>
        <v>7.8363297723860137E-2</v>
      </c>
      <c r="J135" s="5">
        <f>VLOOKUP(Tab_dadosSafra[[#This Row],[Data]],[1]!Dados_Históricos___Etanol_Hidratado_Futuros[#Data],2,0)</f>
        <v>2780</v>
      </c>
      <c r="K135" s="7">
        <f>LN(Tab_dadosSafra[[#This Row],[Preço Etanol B3]]/J134)</f>
        <v>5.9276609929540307E-2</v>
      </c>
      <c r="L135" s="1">
        <v>5.3251999999999997</v>
      </c>
      <c r="M135" s="7">
        <f>LN(Tab_dadosSafra[[#This Row],[Preço Dólar]]/L134)</f>
        <v>3.0119313839498969E-2</v>
      </c>
    </row>
    <row r="136" spans="1:13" x14ac:dyDescent="0.35">
      <c r="A136" s="1" t="s">
        <v>33</v>
      </c>
      <c r="B136" s="1" t="s">
        <v>24</v>
      </c>
      <c r="C136" s="6" t="s">
        <v>15</v>
      </c>
      <c r="D136" s="2">
        <v>26337000</v>
      </c>
      <c r="E136" s="1">
        <v>137.1</v>
      </c>
      <c r="F136" s="3">
        <v>0.48399999999999999</v>
      </c>
      <c r="G136" s="4">
        <v>44866</v>
      </c>
      <c r="H136" s="5">
        <v>18.43</v>
      </c>
      <c r="I136" s="7">
        <f>LN(Tab_dadosSafra[[#This Row],[Preço Açúcar NY]]/H135)</f>
        <v>-2.2002497466485138E-2</v>
      </c>
      <c r="J136" s="5">
        <f>VLOOKUP(Tab_dadosSafra[[#This Row],[Data]],[1]!Dados_Históricos___Etanol_Hidratado_Futuros[#Data],2,0)</f>
        <v>2845</v>
      </c>
      <c r="K136" s="7">
        <f>LN(Tab_dadosSafra[[#This Row],[Preço Etanol B3]]/J135)</f>
        <v>2.311213987574862E-2</v>
      </c>
      <c r="L136" s="1">
        <v>5.1475</v>
      </c>
      <c r="M136" s="7">
        <f>LN(Tab_dadosSafra[[#This Row],[Preço Dólar]]/L135)</f>
        <v>-3.3939109655817583E-2</v>
      </c>
    </row>
    <row r="137" spans="1:13" x14ac:dyDescent="0.35">
      <c r="A137" s="1" t="s">
        <v>33</v>
      </c>
      <c r="B137" s="1" t="s">
        <v>24</v>
      </c>
      <c r="C137" s="6" t="s">
        <v>16</v>
      </c>
      <c r="D137" s="2">
        <v>16227000</v>
      </c>
      <c r="E137" s="1">
        <v>139.87</v>
      </c>
      <c r="F137" s="3">
        <v>0.47639999999999999</v>
      </c>
      <c r="G137" s="4">
        <v>44880</v>
      </c>
      <c r="H137" s="5">
        <v>20.29</v>
      </c>
      <c r="I137" s="7">
        <f>LN(Tab_dadosSafra[[#This Row],[Preço Açúcar NY]]/H136)</f>
        <v>9.6148382155991502E-2</v>
      </c>
      <c r="J137" s="5">
        <v>0</v>
      </c>
      <c r="K137" s="7">
        <v>0</v>
      </c>
      <c r="L137" s="1">
        <v>5.3324999999999996</v>
      </c>
      <c r="M137" s="7">
        <f>LN(Tab_dadosSafra[[#This Row],[Preço Dólar]]/L136)</f>
        <v>3.530901144356096E-2</v>
      </c>
    </row>
    <row r="138" spans="1:13" x14ac:dyDescent="0.35">
      <c r="A138" s="1" t="s">
        <v>33</v>
      </c>
      <c r="B138" s="1" t="s">
        <v>25</v>
      </c>
      <c r="C138" s="1" t="s">
        <v>15</v>
      </c>
      <c r="D138" s="2">
        <v>5613000</v>
      </c>
      <c r="E138" s="1">
        <v>142.55000000000001</v>
      </c>
      <c r="F138" s="3">
        <v>0.39040000000000002</v>
      </c>
      <c r="G138" s="4">
        <v>44896</v>
      </c>
      <c r="H138" s="5">
        <v>19.62</v>
      </c>
      <c r="I138" s="7">
        <f>LN(Tab_dadosSafra[[#This Row],[Preço Açúcar NY]]/H137)</f>
        <v>-3.3578699700506275E-2</v>
      </c>
      <c r="J138" s="5">
        <f>VLOOKUP(Tab_dadosSafra[[#This Row],[Data]],[1]!Dados_Históricos___Etanol_Hidratado_Futuros[#Data],2,0)</f>
        <v>2840</v>
      </c>
      <c r="K138" s="7">
        <v>0</v>
      </c>
      <c r="L138" s="1">
        <v>5.1848000000000001</v>
      </c>
      <c r="M138" s="7">
        <f>LN(Tab_dadosSafra[[#This Row],[Preço Dólar]]/L137)</f>
        <v>-2.8088903231999342E-2</v>
      </c>
    </row>
    <row r="139" spans="1:13" x14ac:dyDescent="0.35">
      <c r="A139" s="1" t="s">
        <v>33</v>
      </c>
      <c r="B139" s="1" t="s">
        <v>25</v>
      </c>
      <c r="C139" s="6" t="s">
        <v>16</v>
      </c>
      <c r="D139" s="2">
        <v>2631000</v>
      </c>
      <c r="E139" s="1">
        <v>135</v>
      </c>
      <c r="F139" s="3">
        <v>0.37</v>
      </c>
      <c r="G139" s="4">
        <v>44910</v>
      </c>
      <c r="H139" s="5">
        <v>19.98</v>
      </c>
      <c r="I139" s="7">
        <f>LN(Tab_dadosSafra[[#This Row],[Preço Açúcar NY]]/H138)</f>
        <v>1.8182319083190328E-2</v>
      </c>
      <c r="J139" s="5">
        <f>VLOOKUP(Tab_dadosSafra[[#This Row],[Data]],[1]!Dados_Históricos___Etanol_Hidratado_Futuros[#Data],2,0)</f>
        <v>2735</v>
      </c>
      <c r="K139" s="7">
        <f>LN(Tab_dadosSafra[[#This Row],[Preço Etanol B3]]/J138)</f>
        <v>-3.7672616299170153E-2</v>
      </c>
      <c r="L139" s="1">
        <v>5.3129999999999997</v>
      </c>
      <c r="M139" s="7">
        <f>LN(Tab_dadosSafra[[#This Row],[Preço Dólar]]/L138)</f>
        <v>2.4425379337436905E-2</v>
      </c>
    </row>
    <row r="140" spans="1:13" x14ac:dyDescent="0.35">
      <c r="A140" s="1" t="s">
        <v>33</v>
      </c>
      <c r="B140" s="1" t="s">
        <v>26</v>
      </c>
      <c r="C140" s="6" t="s">
        <v>15</v>
      </c>
      <c r="D140" s="2">
        <v>440000</v>
      </c>
      <c r="E140" s="1">
        <v>131.06</v>
      </c>
      <c r="F140" s="3">
        <v>0.35339999999999999</v>
      </c>
      <c r="G140" s="4">
        <v>44929</v>
      </c>
      <c r="H140" s="5">
        <v>19.7</v>
      </c>
      <c r="I140" s="7">
        <f>LN(Tab_dadosSafra[[#This Row],[Preço Açúcar NY]]/H139)</f>
        <v>-1.4113137476464655E-2</v>
      </c>
      <c r="J140" s="5">
        <f>VLOOKUP(Tab_dadosSafra[[#This Row],[Data]],[1]!Dados_Históricos___Etanol_Hidratado_Futuros[#Data],2,0)</f>
        <v>2692.5</v>
      </c>
      <c r="K140" s="7">
        <f>LN(Tab_dadosSafra[[#This Row],[Preço Etanol B3]]/J139)</f>
        <v>-1.5661305825537992E-2</v>
      </c>
      <c r="L140" s="1">
        <v>5.4797000000000002</v>
      </c>
      <c r="M140" s="7">
        <f>LN(Tab_dadosSafra[[#This Row],[Preço Dólar]]/L139)</f>
        <v>3.0893707467034435E-2</v>
      </c>
    </row>
    <row r="141" spans="1:13" x14ac:dyDescent="0.35">
      <c r="A141" s="1" t="s">
        <v>33</v>
      </c>
      <c r="B141" s="1" t="s">
        <v>26</v>
      </c>
      <c r="C141" s="6" t="s">
        <v>16</v>
      </c>
      <c r="D141" s="2">
        <v>307000</v>
      </c>
      <c r="E141" s="1">
        <v>131.81</v>
      </c>
      <c r="F141" s="3">
        <v>0.43130000000000002</v>
      </c>
      <c r="G141" s="4">
        <v>44939</v>
      </c>
      <c r="H141" s="5">
        <v>19.73</v>
      </c>
      <c r="I141" s="7">
        <f>LN(Tab_dadosSafra[[#This Row],[Preço Açúcar NY]]/H140)</f>
        <v>1.5216842905811487E-3</v>
      </c>
      <c r="J141" s="5">
        <f>VLOOKUP(Tab_dadosSafra[[#This Row],[Data]],[1]!Dados_Históricos___Etanol_Hidratado_Futuros[#Data],2,0)</f>
        <v>2550</v>
      </c>
      <c r="K141" s="7">
        <f>LN(Tab_dadosSafra[[#This Row],[Preço Etanol B3]]/J140)</f>
        <v>-5.4376770878071773E-2</v>
      </c>
      <c r="L141" s="1">
        <v>5.0956000000000001</v>
      </c>
      <c r="M141" s="7">
        <f>LN(Tab_dadosSafra[[#This Row],[Preço Dólar]]/L140)</f>
        <v>-7.2672932682345731E-2</v>
      </c>
    </row>
    <row r="142" spans="1:13" x14ac:dyDescent="0.35">
      <c r="A142" s="1" t="s">
        <v>33</v>
      </c>
      <c r="B142" s="1" t="s">
        <v>27</v>
      </c>
      <c r="C142" s="1" t="s">
        <v>15</v>
      </c>
      <c r="D142" s="2">
        <v>73000</v>
      </c>
      <c r="E142" s="1">
        <v>143.37</v>
      </c>
      <c r="F142" s="3">
        <v>0.23569999999999999</v>
      </c>
      <c r="G142" s="4">
        <v>44958</v>
      </c>
      <c r="H142" s="5">
        <v>21.37</v>
      </c>
      <c r="I142" s="7">
        <f>LN(Tab_dadosSafra[[#This Row],[Preço Açúcar NY]]/H141)</f>
        <v>7.984774929653228E-2</v>
      </c>
      <c r="J142" s="5">
        <f>VLOOKUP(Tab_dadosSafra[[#This Row],[Data]],[1]!Dados_Históricos___Etanol_Hidratado_Futuros[#Data],2,0)</f>
        <v>2715</v>
      </c>
      <c r="K142" s="7">
        <f>LN(Tab_dadosSafra[[#This Row],[Preço Etanol B3]]/J141)</f>
        <v>6.269859421556398E-2</v>
      </c>
      <c r="L142" s="1">
        <v>5.0547000000000004</v>
      </c>
      <c r="M142" s="7">
        <f>LN(Tab_dadosSafra[[#This Row],[Preço Dólar]]/L141)</f>
        <v>-8.058918723182493E-3</v>
      </c>
    </row>
    <row r="143" spans="1:13" x14ac:dyDescent="0.35">
      <c r="A143" s="1" t="s">
        <v>33</v>
      </c>
      <c r="B143" s="1" t="s">
        <v>27</v>
      </c>
      <c r="C143" s="6" t="s">
        <v>16</v>
      </c>
      <c r="D143" s="2">
        <v>72000</v>
      </c>
      <c r="E143" s="1">
        <v>115.61</v>
      </c>
      <c r="F143" s="3">
        <v>4.82E-2</v>
      </c>
      <c r="G143" s="4">
        <v>44972</v>
      </c>
      <c r="H143" s="5">
        <v>21.38</v>
      </c>
      <c r="I143" s="7">
        <f>LN(Tab_dadosSafra[[#This Row],[Preço Açúcar NY]]/H142)</f>
        <v>4.6783626584279603E-4</v>
      </c>
      <c r="J143" s="5">
        <f>VLOOKUP(Tab_dadosSafra[[#This Row],[Data]],[1]!Dados_Históricos___Etanol_Hidratado_Futuros[#Data],2,0)</f>
        <v>2805</v>
      </c>
      <c r="K143" s="7">
        <f>LN(Tab_dadosSafra[[#This Row],[Preço Etanol B3]]/J142)</f>
        <v>3.2611585588760796E-2</v>
      </c>
      <c r="L143" s="1">
        <v>5.2190000000000003</v>
      </c>
      <c r="M143" s="7">
        <f>LN(Tab_dadosSafra[[#This Row],[Preço Dólar]]/L142)</f>
        <v>3.1987309130963974E-2</v>
      </c>
    </row>
    <row r="144" spans="1:13" x14ac:dyDescent="0.35">
      <c r="A144" s="1" t="s">
        <v>33</v>
      </c>
      <c r="B144" s="1" t="s">
        <v>28</v>
      </c>
      <c r="C144" s="6" t="s">
        <v>15</v>
      </c>
      <c r="D144" s="2">
        <v>608000</v>
      </c>
      <c r="E144" s="1">
        <v>100.07</v>
      </c>
      <c r="F144" s="3">
        <v>0.26840000000000003</v>
      </c>
      <c r="G144" s="4">
        <v>44986</v>
      </c>
      <c r="H144" s="5">
        <v>20.57</v>
      </c>
      <c r="I144" s="7">
        <f>LN(Tab_dadosSafra[[#This Row],[Preço Açúcar NY]]/H143)</f>
        <v>-3.8622201932033286E-2</v>
      </c>
      <c r="J144" s="5">
        <f>VLOOKUP(Tab_dadosSafra[[#This Row],[Data]],[1]!Dados_Históricos___Etanol_Hidratado_Futuros[#Data],2,0)</f>
        <v>2715</v>
      </c>
      <c r="K144" s="7">
        <f>LN(Tab_dadosSafra[[#This Row],[Preço Etanol B3]]/J143)</f>
        <v>-3.2611585588760893E-2</v>
      </c>
      <c r="L144" s="1">
        <v>5.1794000000000002</v>
      </c>
      <c r="M144" s="7">
        <f>LN(Tab_dadosSafra[[#This Row],[Preço Dólar]]/L143)</f>
        <v>-7.6165932145405985E-3</v>
      </c>
    </row>
    <row r="145" spans="1:13" x14ac:dyDescent="0.35">
      <c r="A145" s="1" t="s">
        <v>33</v>
      </c>
      <c r="B145" s="1" t="s">
        <v>28</v>
      </c>
      <c r="C145" s="6" t="s">
        <v>16</v>
      </c>
      <c r="D145" s="2">
        <v>4386000</v>
      </c>
      <c r="E145" s="1">
        <v>104.28</v>
      </c>
      <c r="F145" s="3">
        <v>0.33429999999999999</v>
      </c>
      <c r="G145" s="4">
        <v>45000</v>
      </c>
      <c r="H145" s="5">
        <v>20.5</v>
      </c>
      <c r="I145" s="7">
        <f>LN(Tab_dadosSafra[[#This Row],[Preço Açúcar NY]]/H144)</f>
        <v>-3.4088175205033602E-3</v>
      </c>
      <c r="J145" s="5">
        <f>VLOOKUP(Tab_dadosSafra[[#This Row],[Data]],[1]!Dados_Históricos___Etanol_Hidratado_Futuros[#Data],2,0)</f>
        <v>2710</v>
      </c>
      <c r="K145" s="7">
        <f>LN(Tab_dadosSafra[[#This Row],[Preço Etanol B3]]/J144)</f>
        <v>-1.843318494289224E-3</v>
      </c>
      <c r="L145" s="1">
        <v>5.2881999999999998</v>
      </c>
      <c r="M145" s="7">
        <f>LN(Tab_dadosSafra[[#This Row],[Preço Dólar]]/L144)</f>
        <v>2.0788703870037329E-2</v>
      </c>
    </row>
    <row r="146" spans="1:13" x14ac:dyDescent="0.35">
      <c r="A146" s="1" t="s">
        <v>34</v>
      </c>
      <c r="B146" s="1" t="s">
        <v>14</v>
      </c>
      <c r="C146" s="1" t="s">
        <v>15</v>
      </c>
      <c r="D146" s="2">
        <v>13908000</v>
      </c>
      <c r="E146" s="1">
        <v>108.35</v>
      </c>
      <c r="F146" s="3">
        <v>0.38579999999999998</v>
      </c>
      <c r="G146" s="4">
        <v>45019</v>
      </c>
      <c r="H146" s="5">
        <v>22.4</v>
      </c>
      <c r="I146" s="7">
        <f>LN(Tab_dadosSafra[[#This Row],[Preço Açúcar NY]]/H145)</f>
        <v>8.8636072716631542E-2</v>
      </c>
      <c r="J146" s="5">
        <f>VLOOKUP(Tab_dadosSafra[[#This Row],[Data]],[1]!Dados_Históricos___Etanol_Hidratado_Futuros[#Data],2,0)</f>
        <v>2710</v>
      </c>
      <c r="K146" s="7">
        <f>LN(Tab_dadosSafra[[#This Row],[Preço Etanol B3]]/J145)</f>
        <v>0</v>
      </c>
      <c r="L146" s="1">
        <v>5.0632000000000001</v>
      </c>
      <c r="M146" s="7">
        <f>LN(Tab_dadosSafra[[#This Row],[Preço Dólar]]/L145)</f>
        <v>-4.3479228837814445E-2</v>
      </c>
    </row>
    <row r="147" spans="1:13" x14ac:dyDescent="0.35">
      <c r="A147" s="1" t="s">
        <v>34</v>
      </c>
      <c r="B147" s="1" t="s">
        <v>14</v>
      </c>
      <c r="C147" s="6" t="s">
        <v>16</v>
      </c>
      <c r="D147" s="2">
        <v>21435000</v>
      </c>
      <c r="E147" s="1">
        <v>112.79</v>
      </c>
      <c r="F147" s="3">
        <v>0.43809999999999999</v>
      </c>
      <c r="G147" s="4">
        <v>45030</v>
      </c>
      <c r="H147" s="5">
        <v>24.1</v>
      </c>
      <c r="I147" s="7">
        <f>LN(Tab_dadosSafra[[#This Row],[Preço Açúcar NY]]/H146)</f>
        <v>7.31508816356152E-2</v>
      </c>
      <c r="J147" s="5">
        <f>VLOOKUP(Tab_dadosSafra[[#This Row],[Data]],[1]!Dados_Históricos___Etanol_Hidratado_Futuros[#Data],2,0)</f>
        <v>2975</v>
      </c>
      <c r="K147" s="7">
        <f>LN(Tab_dadosSafra[[#This Row],[Preço Etanol B3]]/J146)</f>
        <v>9.3295404105983457E-2</v>
      </c>
      <c r="L147" s="1">
        <v>4.9096000000000002</v>
      </c>
      <c r="M147" s="7">
        <f>LN(Tab_dadosSafra[[#This Row],[Preço Dólar]]/L146)</f>
        <v>-3.0806222386208296E-2</v>
      </c>
    </row>
    <row r="148" spans="1:13" x14ac:dyDescent="0.35">
      <c r="A148" s="1" t="s">
        <v>34</v>
      </c>
      <c r="B148" s="1" t="s">
        <v>17</v>
      </c>
      <c r="C148" s="6" t="s">
        <v>15</v>
      </c>
      <c r="D148" s="2">
        <v>44560000</v>
      </c>
      <c r="E148" s="1">
        <v>124.56</v>
      </c>
      <c r="F148" s="3">
        <v>0.48399999999999999</v>
      </c>
      <c r="G148" s="4">
        <v>45047</v>
      </c>
      <c r="H148" s="5">
        <v>25.54</v>
      </c>
      <c r="I148" s="7">
        <f>LN(Tab_dadosSafra[[#This Row],[Preço Açúcar NY]]/H147)</f>
        <v>5.8034010107783932E-2</v>
      </c>
      <c r="J148" s="5">
        <v>0</v>
      </c>
      <c r="K148" s="7">
        <v>0</v>
      </c>
      <c r="L148" s="1">
        <v>4.9889000000000001</v>
      </c>
      <c r="M148" s="7">
        <f>LN(Tab_dadosSafra[[#This Row],[Preço Dólar]]/L147)</f>
        <v>1.6022972488250974E-2</v>
      </c>
    </row>
    <row r="149" spans="1:13" x14ac:dyDescent="0.35">
      <c r="A149" s="1" t="s">
        <v>34</v>
      </c>
      <c r="B149" s="1" t="s">
        <v>17</v>
      </c>
      <c r="C149" s="6" t="s">
        <v>16</v>
      </c>
      <c r="D149" s="2">
        <v>46775000</v>
      </c>
      <c r="E149" s="1">
        <v>135.22</v>
      </c>
      <c r="F149" s="3">
        <v>0.48759999999999998</v>
      </c>
      <c r="G149" s="4">
        <v>45061</v>
      </c>
      <c r="H149" s="5">
        <v>26.29</v>
      </c>
      <c r="I149" s="7">
        <f>LN(Tab_dadosSafra[[#This Row],[Preço Açúcar NY]]/H148)</f>
        <v>2.8942788137396612E-2</v>
      </c>
      <c r="J149" s="5">
        <f>VLOOKUP(Tab_dadosSafra[[#This Row],[Data]],[1]!Dados_Históricos___Etanol_Hidratado_Futuros[#Data],2,0)</f>
        <v>2575</v>
      </c>
      <c r="K149" s="7">
        <v>0</v>
      </c>
      <c r="L149" s="1">
        <v>4.8903999999999996</v>
      </c>
      <c r="M149" s="7">
        <f>LN(Tab_dadosSafra[[#This Row],[Preço Dólar]]/L148)</f>
        <v>-1.9941344848622776E-2</v>
      </c>
    </row>
    <row r="150" spans="1:13" x14ac:dyDescent="0.35">
      <c r="A150" s="1" t="s">
        <v>34</v>
      </c>
      <c r="B150" s="1" t="s">
        <v>18</v>
      </c>
      <c r="C150" s="1" t="s">
        <v>15</v>
      </c>
      <c r="D150" s="2">
        <v>40669000</v>
      </c>
      <c r="E150" s="1">
        <v>135.65</v>
      </c>
      <c r="F150" s="3">
        <v>0.48949999999999999</v>
      </c>
      <c r="G150" s="4">
        <v>45078</v>
      </c>
      <c r="H150" s="5">
        <v>24.88</v>
      </c>
      <c r="I150" s="7">
        <f>LN(Tab_dadosSafra[[#This Row],[Preço Açúcar NY]]/H149)</f>
        <v>-5.512437087081113E-2</v>
      </c>
      <c r="J150" s="5">
        <f>VLOOKUP(Tab_dadosSafra[[#This Row],[Data]],[1]!Dados_Históricos___Etanol_Hidratado_Futuros[#Data],2,0)</f>
        <v>2597.5</v>
      </c>
      <c r="K150" s="7">
        <f>LN(Tab_dadosSafra[[#This Row],[Preço Etanol B3]]/J149)</f>
        <v>8.6999098755458897E-3</v>
      </c>
      <c r="L150" s="1">
        <v>5.0140000000000002</v>
      </c>
      <c r="M150" s="7">
        <f>LN(Tab_dadosSafra[[#This Row],[Preço Dólar]]/L149)</f>
        <v>2.4959900003723258E-2</v>
      </c>
    </row>
    <row r="151" spans="1:13" x14ac:dyDescent="0.35">
      <c r="A151" s="1" t="s">
        <v>34</v>
      </c>
      <c r="B151" s="1" t="s">
        <v>18</v>
      </c>
      <c r="C151" s="6" t="s">
        <v>16</v>
      </c>
      <c r="D151" s="2">
        <v>43200000</v>
      </c>
      <c r="E151" s="1">
        <v>133.04</v>
      </c>
      <c r="F151" s="3">
        <v>0.49430000000000002</v>
      </c>
      <c r="G151" s="4">
        <v>45092</v>
      </c>
      <c r="H151" s="5">
        <v>26</v>
      </c>
      <c r="I151" s="7">
        <f>LN(Tab_dadosSafra[[#This Row],[Preço Açúcar NY]]/H150)</f>
        <v>4.4032270150503344E-2</v>
      </c>
      <c r="J151" s="5">
        <f>VLOOKUP(Tab_dadosSafra[[#This Row],[Data]],[1]!Dados_Históricos___Etanol_Hidratado_Futuros[#Data],2,0)</f>
        <v>2652.5</v>
      </c>
      <c r="K151" s="7">
        <f>LN(Tab_dadosSafra[[#This Row],[Preço Etanol B3]]/J150)</f>
        <v>2.0953147514755667E-2</v>
      </c>
      <c r="L151" s="1">
        <v>4.8102</v>
      </c>
      <c r="M151" s="7">
        <f>LN(Tab_dadosSafra[[#This Row],[Preço Dólar]]/L150)</f>
        <v>-4.1495336441277779E-2</v>
      </c>
    </row>
    <row r="152" spans="1:13" x14ac:dyDescent="0.35">
      <c r="A152" s="1" t="s">
        <v>34</v>
      </c>
      <c r="B152" s="1" t="s">
        <v>19</v>
      </c>
      <c r="C152" s="6" t="s">
        <v>15</v>
      </c>
      <c r="D152" s="2">
        <v>48550000</v>
      </c>
      <c r="E152" s="1">
        <v>140.58000000000001</v>
      </c>
      <c r="F152" s="3">
        <v>0.50009999999999999</v>
      </c>
      <c r="G152" s="4">
        <v>45110</v>
      </c>
      <c r="H152" s="5">
        <v>23.32</v>
      </c>
      <c r="I152" s="7">
        <f>LN(Tab_dadosSafra[[#This Row],[Preço Açúcar NY]]/H151)</f>
        <v>-0.1087851765391904</v>
      </c>
      <c r="J152" s="5">
        <f>VLOOKUP(Tab_dadosSafra[[#This Row],[Data]],[1]!Dados_Históricos___Etanol_Hidratado_Futuros[#Data],2,0)</f>
        <v>2345</v>
      </c>
      <c r="K152" s="7">
        <f>LN(Tab_dadosSafra[[#This Row],[Preço Etanol B3]]/J151)</f>
        <v>-0.12321718960775846</v>
      </c>
      <c r="L152" s="1">
        <v>4.8076999999999996</v>
      </c>
      <c r="M152" s="7">
        <f>LN(Tab_dadosSafra[[#This Row],[Preço Dólar]]/L151)</f>
        <v>-5.1986401528483566E-4</v>
      </c>
    </row>
    <row r="153" spans="1:13" x14ac:dyDescent="0.35">
      <c r="A153" s="1" t="s">
        <v>34</v>
      </c>
      <c r="B153" s="1" t="s">
        <v>19</v>
      </c>
      <c r="C153" s="6" t="s">
        <v>16</v>
      </c>
      <c r="D153" s="2">
        <v>53100000</v>
      </c>
      <c r="E153" s="1">
        <v>144.02000000000001</v>
      </c>
      <c r="F153" s="3">
        <v>0.50649999999999995</v>
      </c>
      <c r="G153" s="4">
        <v>45121</v>
      </c>
      <c r="H153" s="5">
        <v>24.32</v>
      </c>
      <c r="I153" s="7">
        <f>LN(Tab_dadosSafra[[#This Row],[Preço Açúcar NY]]/H152)</f>
        <v>4.19876956156746E-2</v>
      </c>
      <c r="J153" s="5">
        <f>VLOOKUP(Tab_dadosSafra[[#This Row],[Data]],[1]!Dados_Históricos___Etanol_Hidratado_Futuros[#Data],2,0)</f>
        <v>2215</v>
      </c>
      <c r="K153" s="7">
        <f>LN(Tab_dadosSafra[[#This Row],[Preço Etanol B3]]/J152)</f>
        <v>-5.7032998401143675E-2</v>
      </c>
      <c r="L153" s="1">
        <v>4.7893999999999997</v>
      </c>
      <c r="M153" s="7">
        <f>LN(Tab_dadosSafra[[#This Row],[Preço Dólar]]/L152)</f>
        <v>-3.8136566628585574E-3</v>
      </c>
    </row>
    <row r="154" spans="1:13" x14ac:dyDescent="0.35">
      <c r="A154" s="1" t="s">
        <v>34</v>
      </c>
      <c r="B154" s="1" t="s">
        <v>20</v>
      </c>
      <c r="C154" s="1" t="s">
        <v>15</v>
      </c>
      <c r="D154" s="2">
        <v>47940000</v>
      </c>
      <c r="E154" s="1">
        <v>149.22999999999999</v>
      </c>
      <c r="F154" s="3">
        <v>0.50770000000000004</v>
      </c>
      <c r="G154" s="4">
        <v>45139</v>
      </c>
      <c r="H154" s="5">
        <v>24.39</v>
      </c>
      <c r="I154" s="7">
        <f>LN(Tab_dadosSafra[[#This Row],[Preço Açúcar NY]]/H153)</f>
        <v>2.8741551298627384E-3</v>
      </c>
      <c r="J154" s="5">
        <f>VLOOKUP(Tab_dadosSafra[[#This Row],[Data]],[1]!Dados_Históricos___Etanol_Hidratado_Futuros[#Data],2,0)</f>
        <v>2275</v>
      </c>
      <c r="K154" s="7">
        <f>LN(Tab_dadosSafra[[#This Row],[Preço Etanol B3]]/J153)</f>
        <v>2.6727648905814819E-2</v>
      </c>
      <c r="L154" s="1">
        <v>4.7911000000000001</v>
      </c>
      <c r="M154" s="7">
        <f>LN(Tab_dadosSafra[[#This Row],[Preço Dólar]]/L153)</f>
        <v>3.5488753569076867E-4</v>
      </c>
    </row>
    <row r="155" spans="1:13" x14ac:dyDescent="0.35">
      <c r="A155" s="1" t="s">
        <v>34</v>
      </c>
      <c r="B155" s="1" t="s">
        <v>20</v>
      </c>
      <c r="C155" s="6" t="s">
        <v>16</v>
      </c>
      <c r="D155" s="2">
        <v>46450000</v>
      </c>
      <c r="E155" s="1">
        <v>153.93</v>
      </c>
      <c r="F155" s="3">
        <v>0.50729999999999997</v>
      </c>
      <c r="G155" s="4">
        <v>45153</v>
      </c>
      <c r="H155" s="5">
        <v>23.77</v>
      </c>
      <c r="I155" s="7">
        <f>LN(Tab_dadosSafra[[#This Row],[Preço Açúcar NY]]/H154)</f>
        <v>-2.5748930855726347E-2</v>
      </c>
      <c r="J155" s="5">
        <f>VLOOKUP(Tab_dadosSafra[[#This Row],[Data]],[1]!Dados_Históricos___Etanol_Hidratado_Futuros[#Data],2,0)</f>
        <v>2365</v>
      </c>
      <c r="K155" s="7">
        <f>LN(Tab_dadosSafra[[#This Row],[Preço Etanol B3]]/J154)</f>
        <v>3.8797969540982628E-2</v>
      </c>
      <c r="L155" s="1">
        <v>4.9844999999999997</v>
      </c>
      <c r="M155" s="7">
        <f>LN(Tab_dadosSafra[[#This Row],[Preço Dólar]]/L154)</f>
        <v>3.9573067328250298E-2</v>
      </c>
    </row>
    <row r="156" spans="1:13" x14ac:dyDescent="0.35">
      <c r="A156" s="1" t="s">
        <v>34</v>
      </c>
      <c r="B156" s="1" t="s">
        <v>21</v>
      </c>
      <c r="C156" s="6" t="s">
        <v>15</v>
      </c>
      <c r="D156" s="2">
        <v>41784000</v>
      </c>
      <c r="E156" s="1">
        <v>153.27000000000001</v>
      </c>
      <c r="F156" s="3">
        <v>0.51100000000000001</v>
      </c>
      <c r="G156" s="4">
        <v>45170</v>
      </c>
      <c r="H156" s="5">
        <v>25.81</v>
      </c>
      <c r="I156" s="7">
        <f>LN(Tab_dadosSafra[[#This Row],[Preço Açúcar NY]]/H155)</f>
        <v>8.2337732358419929E-2</v>
      </c>
      <c r="J156" s="5">
        <f>VLOOKUP(Tab_dadosSafra[[#This Row],[Data]],[1]!Dados_Históricos___Etanol_Hidratado_Futuros[#Data],2,0)</f>
        <v>2315</v>
      </c>
      <c r="K156" s="7">
        <f>LN(Tab_dadosSafra[[#This Row],[Preço Etanol B3]]/J155)</f>
        <v>-2.1368334405698911E-2</v>
      </c>
      <c r="L156" s="1">
        <v>4.9462999999999999</v>
      </c>
      <c r="M156" s="7">
        <f>LN(Tab_dadosSafra[[#This Row],[Preço Dólar]]/L155)</f>
        <v>-7.6932751460338537E-3</v>
      </c>
    </row>
    <row r="157" spans="1:13" x14ac:dyDescent="0.35">
      <c r="A157" s="1" t="s">
        <v>34</v>
      </c>
      <c r="B157" s="1" t="s">
        <v>22</v>
      </c>
      <c r="C157" s="6" t="s">
        <v>16</v>
      </c>
      <c r="D157" s="2">
        <v>44820000</v>
      </c>
      <c r="E157" s="1">
        <v>154.25</v>
      </c>
      <c r="F157" s="3">
        <v>0.51119999999999999</v>
      </c>
      <c r="G157" s="4">
        <v>45184</v>
      </c>
      <c r="H157" s="5">
        <v>26.91</v>
      </c>
      <c r="I157" s="7">
        <f>LN(Tab_dadosSafra[[#This Row],[Preço Açúcar NY]]/H156)</f>
        <v>4.173595100829209E-2</v>
      </c>
      <c r="J157" s="5">
        <f>VLOOKUP(Tab_dadosSafra[[#This Row],[Data]],[1]!Dados_Históricos___Etanol_Hidratado_Futuros[#Data],2,0)</f>
        <v>2335</v>
      </c>
      <c r="K157" s="7">
        <f>LN(Tab_dadosSafra[[#This Row],[Preço Etanol B3]]/J156)</f>
        <v>8.6022035826632884E-3</v>
      </c>
      <c r="L157" s="1">
        <v>4.8662999999999998</v>
      </c>
      <c r="M157" s="7">
        <f>LN(Tab_dadosSafra[[#This Row],[Preço Dólar]]/L156)</f>
        <v>-1.630592759254618E-2</v>
      </c>
    </row>
    <row r="158" spans="1:13" x14ac:dyDescent="0.35">
      <c r="A158" s="1" t="s">
        <v>34</v>
      </c>
      <c r="B158" s="1" t="s">
        <v>23</v>
      </c>
      <c r="C158" s="1" t="s">
        <v>15</v>
      </c>
      <c r="D158" s="2">
        <v>32840000</v>
      </c>
      <c r="E158" s="1">
        <v>149.57</v>
      </c>
      <c r="F158" s="3">
        <v>0.48120000000000002</v>
      </c>
      <c r="G158" s="4">
        <v>45201</v>
      </c>
      <c r="H158" s="5">
        <v>26.35</v>
      </c>
      <c r="I158" s="7">
        <f>LN(Tab_dadosSafra[[#This Row],[Preço Açúcar NY]]/H157)</f>
        <v>-2.1029689751443106E-2</v>
      </c>
      <c r="J158" s="5">
        <f>VLOOKUP(Tab_dadosSafra[[#This Row],[Data]],[1]!Dados_Históricos___Etanol_Hidratado_Futuros[#Data],2,0)</f>
        <v>2342.5</v>
      </c>
      <c r="K158" s="7">
        <f>LN(Tab_dadosSafra[[#This Row],[Preço Etanol B3]]/J157)</f>
        <v>3.206844009579591E-3</v>
      </c>
      <c r="L158" s="1">
        <v>5.0609999999999999</v>
      </c>
      <c r="M158" s="7">
        <f>LN(Tab_dadosSafra[[#This Row],[Preço Dólar]]/L157)</f>
        <v>3.923019748989949E-2</v>
      </c>
    </row>
    <row r="159" spans="1:13" x14ac:dyDescent="0.35">
      <c r="A159" s="1" t="s">
        <v>34</v>
      </c>
      <c r="B159" s="1" t="s">
        <v>23</v>
      </c>
      <c r="C159" s="6" t="s">
        <v>16</v>
      </c>
      <c r="D159" s="2">
        <v>34557000</v>
      </c>
      <c r="E159" s="1">
        <v>146.59</v>
      </c>
      <c r="F159" s="3">
        <v>0.4869</v>
      </c>
      <c r="G159" s="4">
        <v>45215</v>
      </c>
      <c r="H159" s="5">
        <v>27.05</v>
      </c>
      <c r="I159" s="7">
        <f>LN(Tab_dadosSafra[[#This Row],[Preço Açúcar NY]]/H158)</f>
        <v>2.6218730305119235E-2</v>
      </c>
      <c r="J159" s="5">
        <f>VLOOKUP(Tab_dadosSafra[[#This Row],[Data]],[1]!Dados_Históricos___Etanol_Hidratado_Futuros[#Data],2,0)</f>
        <v>2322.5</v>
      </c>
      <c r="K159" s="7">
        <f>LN(Tab_dadosSafra[[#This Row],[Preço Etanol B3]]/J158)</f>
        <v>-8.5745434245836829E-3</v>
      </c>
      <c r="L159" s="1">
        <v>5.0377000000000001</v>
      </c>
      <c r="M159" s="7">
        <f>LN(Tab_dadosSafra[[#This Row],[Preço Dólar]]/L158)</f>
        <v>-4.6144635140017362E-3</v>
      </c>
    </row>
    <row r="160" spans="1:13" x14ac:dyDescent="0.35">
      <c r="A160" s="1" t="s">
        <v>34</v>
      </c>
      <c r="B160" s="1" t="s">
        <v>24</v>
      </c>
      <c r="C160" s="6" t="s">
        <v>15</v>
      </c>
      <c r="D160" s="2">
        <v>34772000</v>
      </c>
      <c r="E160" s="1">
        <v>132.69</v>
      </c>
      <c r="F160" s="3">
        <v>0.49809999999999999</v>
      </c>
      <c r="G160" s="4">
        <v>45231</v>
      </c>
      <c r="H160" s="5">
        <v>27.51</v>
      </c>
      <c r="I160" s="7">
        <f>LN(Tab_dadosSafra[[#This Row],[Preço Açúcar NY]]/H159)</f>
        <v>1.6862569643992725E-2</v>
      </c>
      <c r="J160" s="5">
        <f>VLOOKUP(Tab_dadosSafra[[#This Row],[Data]],[1]!Dados_Históricos___Etanol_Hidratado_Futuros[#Data],2,0)</f>
        <v>2385</v>
      </c>
      <c r="K160" s="7">
        <f>LN(Tab_dadosSafra[[#This Row],[Preço Etanol B3]]/J159)</f>
        <v>2.6554932634447938E-2</v>
      </c>
      <c r="L160" s="1">
        <v>4.9534000000000002</v>
      </c>
      <c r="M160" s="7">
        <f>LN(Tab_dadosSafra[[#This Row],[Preço Dólar]]/L159)</f>
        <v>-1.6875419236804749E-2</v>
      </c>
    </row>
    <row r="161" spans="1:13" x14ac:dyDescent="0.35">
      <c r="A161" s="1" t="s">
        <v>34</v>
      </c>
      <c r="B161" s="1" t="s">
        <v>24</v>
      </c>
      <c r="C161" s="6" t="s">
        <v>16</v>
      </c>
      <c r="D161" s="2">
        <v>23901000</v>
      </c>
      <c r="E161" s="1">
        <v>132.07</v>
      </c>
      <c r="F161" s="3">
        <v>0.46510000000000001</v>
      </c>
      <c r="G161" s="4">
        <v>45245</v>
      </c>
      <c r="H161" s="5">
        <v>27.15</v>
      </c>
      <c r="I161" s="7">
        <f>LN(Tab_dadosSafra[[#This Row],[Preço Açúcar NY]]/H160)</f>
        <v>-1.3172528556538781E-2</v>
      </c>
      <c r="J161" s="5">
        <v>0</v>
      </c>
      <c r="K161" s="7">
        <v>0</v>
      </c>
      <c r="L161" s="1">
        <v>4.8620000000000001</v>
      </c>
      <c r="M161" s="7">
        <f>LN(Tab_dadosSafra[[#This Row],[Preço Dólar]]/L160)</f>
        <v>-1.8624333587202811E-2</v>
      </c>
    </row>
    <row r="162" spans="1:13" x14ac:dyDescent="0.35">
      <c r="A162" s="1" t="s">
        <v>34</v>
      </c>
      <c r="B162" s="1" t="s">
        <v>25</v>
      </c>
      <c r="C162" s="1" t="s">
        <v>15</v>
      </c>
      <c r="D162" s="2">
        <v>19083000</v>
      </c>
      <c r="E162" s="1">
        <v>117.15</v>
      </c>
      <c r="F162" s="3">
        <v>0.43409999999999999</v>
      </c>
      <c r="G162" s="4">
        <v>45261</v>
      </c>
      <c r="H162" s="5">
        <v>25.09</v>
      </c>
      <c r="I162" s="7">
        <f>LN(Tab_dadosSafra[[#This Row],[Preço Açúcar NY]]/H161)</f>
        <v>-7.8907686001613478E-2</v>
      </c>
      <c r="J162" s="5">
        <f>VLOOKUP(Tab_dadosSafra[[#This Row],[Data]],[1]!Dados_Históricos___Etanol_Hidratado_Futuros[#Data],2,0)</f>
        <v>2160</v>
      </c>
      <c r="K162" s="7">
        <v>0</v>
      </c>
      <c r="L162" s="1">
        <v>4.8800999999999997</v>
      </c>
      <c r="M162" s="7">
        <f>LN(Tab_dadosSafra[[#This Row],[Preço Dólar]]/L161)</f>
        <v>3.7158355644485732E-3</v>
      </c>
    </row>
    <row r="163" spans="1:13" x14ac:dyDescent="0.35">
      <c r="A163" s="1" t="s">
        <v>34</v>
      </c>
      <c r="B163" s="1" t="s">
        <v>25</v>
      </c>
      <c r="C163" s="6" t="s">
        <v>16</v>
      </c>
      <c r="D163" s="2">
        <v>4872000</v>
      </c>
      <c r="E163" s="1">
        <v>136.93</v>
      </c>
      <c r="F163" s="3">
        <v>0.37090000000000001</v>
      </c>
      <c r="G163" s="4">
        <v>45275</v>
      </c>
      <c r="H163" s="5">
        <v>21.99</v>
      </c>
      <c r="I163" s="7">
        <f>LN(Tab_dadosSafra[[#This Row],[Preço Açúcar NY]]/H162)</f>
        <v>-0.13188155581166111</v>
      </c>
      <c r="J163" s="5">
        <f>VLOOKUP(Tab_dadosSafra[[#This Row],[Data]],[1]!Dados_Históricos___Etanol_Hidratado_Futuros[#Data],2,0)</f>
        <v>1954</v>
      </c>
      <c r="K163" s="7">
        <f>LN(Tab_dadosSafra[[#This Row],[Preço Etanol B3]]/J162)</f>
        <v>-0.10022966807548259</v>
      </c>
      <c r="L163" s="1">
        <v>4.9371</v>
      </c>
      <c r="M163" s="7">
        <f>LN(Tab_dadosSafra[[#This Row],[Preço Dólar]]/L162)</f>
        <v>1.1612402828929587E-2</v>
      </c>
    </row>
    <row r="164" spans="1:13" x14ac:dyDescent="0.35">
      <c r="A164" s="1" t="s">
        <v>34</v>
      </c>
      <c r="B164" s="1" t="s">
        <v>26</v>
      </c>
      <c r="C164" s="6" t="s">
        <v>15</v>
      </c>
      <c r="D164" s="2">
        <v>1110000</v>
      </c>
      <c r="E164" s="1">
        <v>133.58000000000001</v>
      </c>
      <c r="F164" s="3">
        <v>0.34160000000000001</v>
      </c>
      <c r="G164" s="4">
        <v>45293</v>
      </c>
      <c r="H164" s="5">
        <v>20.9</v>
      </c>
      <c r="I164" s="7">
        <f>LN(Tab_dadosSafra[[#This Row],[Preço Açúcar NY]]/H163)</f>
        <v>-5.0838645595904459E-2</v>
      </c>
      <c r="J164" s="5">
        <f>VLOOKUP(Tab_dadosSafra[[#This Row],[Data]],[1]!Dados_Históricos___Etanol_Hidratado_Futuros[#Data],2,0)</f>
        <v>1980</v>
      </c>
      <c r="K164" s="7">
        <f>LN(Tab_dadosSafra[[#This Row],[Preço Etanol B3]]/J163)</f>
        <v>1.3218291085852797E-2</v>
      </c>
      <c r="L164" s="1">
        <v>4.9234999999999998</v>
      </c>
      <c r="M164" s="7">
        <f>LN(Tab_dadosSafra[[#This Row],[Preço Dólar]]/L163)</f>
        <v>-2.7584545815901259E-3</v>
      </c>
    </row>
    <row r="165" spans="1:13" x14ac:dyDescent="0.35">
      <c r="A165" s="1" t="s">
        <v>34</v>
      </c>
      <c r="B165" s="1" t="s">
        <v>26</v>
      </c>
      <c r="C165" s="6" t="s">
        <v>16</v>
      </c>
      <c r="D165" s="2">
        <v>714000</v>
      </c>
      <c r="E165" s="1">
        <v>117.72</v>
      </c>
      <c r="F165" s="3">
        <v>0.35020000000000001</v>
      </c>
      <c r="G165" s="4">
        <v>45307</v>
      </c>
      <c r="H165" s="5">
        <v>22.52</v>
      </c>
      <c r="I165" s="7">
        <f>LN(Tab_dadosSafra[[#This Row],[Preço Açúcar NY]]/H164)</f>
        <v>7.4654644300724465E-2</v>
      </c>
      <c r="J165" s="5">
        <f>VLOOKUP(Tab_dadosSafra[[#This Row],[Data]],[1]!Dados_Históricos___Etanol_Hidratado_Futuros[#Data],2,0)</f>
        <v>2015</v>
      </c>
      <c r="K165" s="7">
        <f>LN(Tab_dadosSafra[[#This Row],[Preço Etanol B3]]/J164)</f>
        <v>1.7522350692202492E-2</v>
      </c>
      <c r="L165" s="1">
        <v>4.9257999999999997</v>
      </c>
      <c r="M165" s="7">
        <f>LN(Tab_dadosSafra[[#This Row],[Preço Dólar]]/L164)</f>
        <v>4.6703827516814686E-4</v>
      </c>
    </row>
    <row r="166" spans="1:13" x14ac:dyDescent="0.35">
      <c r="A166" s="1" t="s">
        <v>34</v>
      </c>
      <c r="B166" s="1" t="s">
        <v>27</v>
      </c>
      <c r="C166" s="1" t="s">
        <v>15</v>
      </c>
      <c r="D166" s="2">
        <v>549000</v>
      </c>
      <c r="E166" s="1">
        <v>137.97</v>
      </c>
      <c r="F166" s="3">
        <v>0.376</v>
      </c>
      <c r="G166" s="4">
        <v>45323</v>
      </c>
      <c r="H166" s="5">
        <v>23.56</v>
      </c>
      <c r="I166" s="7">
        <f>LN(Tab_dadosSafra[[#This Row],[Preço Açúcar NY]]/H165)</f>
        <v>4.5146555511896294E-2</v>
      </c>
      <c r="J166" s="5">
        <f>VLOOKUP(Tab_dadosSafra[[#This Row],[Data]],[1]!Dados_Históricos___Etanol_Hidratado_Futuros[#Data],2,0)</f>
        <v>2300.5</v>
      </c>
      <c r="K166" s="7">
        <f>LN(Tab_dadosSafra[[#This Row],[Preço Etanol B3]]/J165)</f>
        <v>0.13250729521473983</v>
      </c>
      <c r="L166" s="1">
        <v>4.9162999999999997</v>
      </c>
      <c r="M166" s="7">
        <f>LN(Tab_dadosSafra[[#This Row],[Preço Dólar]]/L165)</f>
        <v>-1.9304829153035997E-3</v>
      </c>
    </row>
    <row r="167" spans="1:13" x14ac:dyDescent="0.35">
      <c r="A167" s="1" t="s">
        <v>34</v>
      </c>
      <c r="B167" s="1" t="s">
        <v>27</v>
      </c>
      <c r="C167" s="6" t="s">
        <v>16</v>
      </c>
      <c r="D167" s="2">
        <v>552000</v>
      </c>
      <c r="E167" s="1">
        <v>131.13999999999999</v>
      </c>
      <c r="F167" s="3">
        <v>0.2339</v>
      </c>
      <c r="G167" s="4">
        <v>45337</v>
      </c>
      <c r="H167" s="5">
        <v>22.82</v>
      </c>
      <c r="I167" s="7">
        <f>LN(Tab_dadosSafra[[#This Row],[Preço Açúcar NY]]/H166)</f>
        <v>-3.191301434945628E-2</v>
      </c>
      <c r="J167" s="5">
        <f>VLOOKUP(Tab_dadosSafra[[#This Row],[Data]],[1]!Dados_Históricos___Etanol_Hidratado_Futuros[#Data],2,0)</f>
        <v>2284</v>
      </c>
      <c r="K167" s="7">
        <f>LN(Tab_dadosSafra[[#This Row],[Preço Etanol B3]]/J166)</f>
        <v>-7.19819881962245E-3</v>
      </c>
      <c r="L167" s="1">
        <v>4.9732000000000003</v>
      </c>
      <c r="M167" s="7">
        <f>LN(Tab_dadosSafra[[#This Row],[Preço Dólar]]/L166)</f>
        <v>1.1507281031061321E-2</v>
      </c>
    </row>
    <row r="168" spans="1:13" x14ac:dyDescent="0.35">
      <c r="A168" s="1" t="s">
        <v>34</v>
      </c>
      <c r="B168" s="1" t="s">
        <v>28</v>
      </c>
      <c r="C168" s="6" t="s">
        <v>15</v>
      </c>
      <c r="D168" s="2">
        <v>2224000</v>
      </c>
      <c r="E168" s="1">
        <v>109.95</v>
      </c>
      <c r="F168" s="3">
        <v>0.27600000000000002</v>
      </c>
      <c r="G168" s="4">
        <v>45352</v>
      </c>
      <c r="H168" s="5">
        <v>21.09</v>
      </c>
      <c r="I168" s="7">
        <f>LN(Tab_dadosSafra[[#This Row],[Preço Açúcar NY]]/H167)</f>
        <v>-7.8838349943246427E-2</v>
      </c>
      <c r="J168" s="5">
        <f>VLOOKUP(Tab_dadosSafra[[#This Row],[Data]],[1]!Dados_Históricos___Etanol_Hidratado_Futuros[#Data],2,0)</f>
        <v>2217.5</v>
      </c>
      <c r="K168" s="7">
        <f>LN(Tab_dadosSafra[[#This Row],[Preço Etanol B3]]/J167)</f>
        <v>-2.9547856592166223E-2</v>
      </c>
      <c r="L168" s="1">
        <v>4.9541000000000004</v>
      </c>
      <c r="M168" s="7">
        <f>LN(Tab_dadosSafra[[#This Row],[Preço Dólar]]/L167)</f>
        <v>-3.8479795246879616E-3</v>
      </c>
    </row>
    <row r="169" spans="1:13" x14ac:dyDescent="0.35">
      <c r="A169" s="1" t="s">
        <v>34</v>
      </c>
      <c r="B169" s="1" t="s">
        <v>28</v>
      </c>
      <c r="C169" s="6" t="s">
        <v>16</v>
      </c>
      <c r="D169" s="2">
        <v>5044000</v>
      </c>
      <c r="E169" s="1">
        <v>113.661</v>
      </c>
      <c r="F169" s="3">
        <v>0.33500000000000002</v>
      </c>
      <c r="G169" s="4">
        <v>45366</v>
      </c>
      <c r="H169" s="5">
        <v>22.12</v>
      </c>
      <c r="I169" s="7">
        <f>LN(Tab_dadosSafra[[#This Row],[Preço Açúcar NY]]/H168)</f>
        <v>4.7683182163450889E-2</v>
      </c>
      <c r="J169" s="5">
        <f>VLOOKUP(Tab_dadosSafra[[#This Row],[Data]],[1]!Dados_Históricos___Etanol_Hidratado_Futuros[#Data],2,0)</f>
        <v>2143.5</v>
      </c>
      <c r="K169" s="7">
        <f>LN(Tab_dadosSafra[[#This Row],[Preço Etanol B3]]/J168)</f>
        <v>-3.3940428145702764E-2</v>
      </c>
      <c r="L169" s="1">
        <v>4.9949000000000003</v>
      </c>
      <c r="M169" s="7">
        <f>LN(Tab_dadosSafra[[#This Row],[Preço Dólar]]/L168)</f>
        <v>8.2018753081360193E-3</v>
      </c>
    </row>
    <row r="170" spans="1:13" x14ac:dyDescent="0.35">
      <c r="A170" s="1" t="s">
        <v>35</v>
      </c>
      <c r="B170" s="1" t="s">
        <v>14</v>
      </c>
      <c r="C170" s="1" t="s">
        <v>15</v>
      </c>
      <c r="D170" s="2">
        <v>16117000</v>
      </c>
      <c r="E170" s="1">
        <v>107.93</v>
      </c>
      <c r="F170" s="3">
        <v>0.43640000000000001</v>
      </c>
      <c r="G170" s="4">
        <v>45383</v>
      </c>
      <c r="H170" s="5">
        <v>22.72</v>
      </c>
      <c r="I170" s="7">
        <f>LN(Tab_dadosSafra[[#This Row],[Preço Açúcar NY]]/H169)</f>
        <v>2.6763417198816506E-2</v>
      </c>
      <c r="J170" s="5">
        <f>VLOOKUP(Tab_dadosSafra[[#This Row],[Data]],[1]!Dados_Históricos___Etanol_Hidratado_Futuros[#Data],2,0)</f>
        <v>2300</v>
      </c>
      <c r="K170" s="7">
        <f>LN(Tab_dadosSafra[[#This Row],[Preço Etanol B3]]/J169)</f>
        <v>7.0469115879209288E-2</v>
      </c>
      <c r="L170" s="1">
        <v>5.0542999999999996</v>
      </c>
      <c r="M170" s="7">
        <f>LN(Tab_dadosSafra[[#This Row],[Preço Dólar]]/L169)</f>
        <v>1.1821974247862403E-2</v>
      </c>
    </row>
    <row r="171" spans="1:13" x14ac:dyDescent="0.35">
      <c r="A171" s="1" t="s">
        <v>35</v>
      </c>
      <c r="B171" s="1" t="s">
        <v>14</v>
      </c>
      <c r="C171" s="6" t="s">
        <v>16</v>
      </c>
      <c r="D171" s="2">
        <v>34998000</v>
      </c>
      <c r="E171" s="1">
        <v>115.63</v>
      </c>
      <c r="F171" s="3">
        <v>0.48370000000000002</v>
      </c>
      <c r="G171" s="4">
        <v>45397</v>
      </c>
      <c r="H171" s="5">
        <v>20.02</v>
      </c>
      <c r="I171" s="7">
        <f>LN(Tab_dadosSafra[[#This Row],[Preço Açúcar NY]]/H170)</f>
        <v>-0.12651381996587599</v>
      </c>
      <c r="J171" s="5">
        <f>VLOOKUP(Tab_dadosSafra[[#This Row],[Data]],[1]!Dados_Históricos___Etanol_Hidratado_Futuros[#Data],2,0)</f>
        <v>2389</v>
      </c>
      <c r="K171" s="7">
        <f>LN(Tab_dadosSafra[[#This Row],[Preço Etanol B3]]/J170)</f>
        <v>3.7965745408568452E-2</v>
      </c>
      <c r="L171" s="1">
        <v>5.1845999999999997</v>
      </c>
      <c r="M171" s="7">
        <f>LN(Tab_dadosSafra[[#This Row],[Preço Dólar]]/L170)</f>
        <v>2.5453326965315399E-2</v>
      </c>
    </row>
    <row r="172" spans="1:13" x14ac:dyDescent="0.35">
      <c r="A172" s="1" t="s">
        <v>35</v>
      </c>
      <c r="B172" s="1" t="s">
        <v>17</v>
      </c>
      <c r="C172" s="6" t="s">
        <v>15</v>
      </c>
      <c r="D172" s="2">
        <v>45064000</v>
      </c>
      <c r="E172" s="1">
        <v>124.71</v>
      </c>
      <c r="F172" s="3">
        <v>0.48270000000000002</v>
      </c>
      <c r="G172" s="4">
        <v>45413</v>
      </c>
      <c r="H172" s="5">
        <v>19.22</v>
      </c>
      <c r="I172" s="7">
        <f>LN(Tab_dadosSafra[[#This Row],[Preço Açúcar NY]]/H171)</f>
        <v>-4.0780370344928187E-2</v>
      </c>
      <c r="J172" s="5">
        <v>0</v>
      </c>
      <c r="K172" s="7">
        <v>0</v>
      </c>
      <c r="L172" s="1">
        <v>5.1936</v>
      </c>
      <c r="M172" s="7">
        <f>LN(Tab_dadosSafra[[#This Row],[Preço Dólar]]/L171)</f>
        <v>1.7344052448634297E-3</v>
      </c>
    </row>
    <row r="173" spans="1:13" x14ac:dyDescent="0.35">
      <c r="A173" s="1" t="s">
        <v>35</v>
      </c>
      <c r="B173" s="1" t="s">
        <v>17</v>
      </c>
      <c r="C173" s="6" t="s">
        <v>16</v>
      </c>
      <c r="D173" s="2">
        <v>45364000</v>
      </c>
      <c r="E173" s="1">
        <v>129.85</v>
      </c>
      <c r="F173" s="3">
        <v>0.48280000000000001</v>
      </c>
      <c r="G173" s="4">
        <v>45427</v>
      </c>
      <c r="H173" s="5">
        <v>18.649999999999999</v>
      </c>
      <c r="I173" s="7">
        <f>LN(Tab_dadosSafra[[#This Row],[Preço Açúcar NY]]/H172)</f>
        <v>-3.0105257452321909E-2</v>
      </c>
      <c r="J173" s="5">
        <f>VLOOKUP(Tab_dadosSafra[[#This Row],[Data]],[1]!Dados_Históricos___Etanol_Hidratado_Futuros[#Data],2,0)</f>
        <v>2365</v>
      </c>
      <c r="K173" s="7">
        <v>0</v>
      </c>
      <c r="L173" s="1">
        <v>5.1372999999999998</v>
      </c>
      <c r="M173" s="7">
        <f>LN(Tab_dadosSafra[[#This Row],[Preço Dólar]]/L172)</f>
        <v>-1.089944871394174E-2</v>
      </c>
    </row>
    <row r="174" spans="1:13" x14ac:dyDescent="0.35">
      <c r="A174" s="1" t="s">
        <v>35</v>
      </c>
      <c r="B174" s="1" t="s">
        <v>18</v>
      </c>
      <c r="C174" s="1" t="s">
        <v>15</v>
      </c>
      <c r="D174" s="2">
        <v>49388000</v>
      </c>
      <c r="E174" s="1">
        <v>134.47</v>
      </c>
      <c r="F174" s="3">
        <v>0.497</v>
      </c>
      <c r="G174" s="4">
        <v>45446</v>
      </c>
      <c r="H174" s="5">
        <v>18.78</v>
      </c>
      <c r="I174" s="7">
        <f>LN(Tab_dadosSafra[[#This Row],[Preço Açúcar NY]]/H173)</f>
        <v>6.9463276902923506E-3</v>
      </c>
      <c r="J174" s="5">
        <f>VLOOKUP(Tab_dadosSafra[[#This Row],[Data]],[1]!Dados_Históricos___Etanol_Hidratado_Futuros[#Data],2,0)</f>
        <v>2395</v>
      </c>
      <c r="K174" s="7">
        <f>LN(Tab_dadosSafra[[#This Row],[Preço Etanol B3]]/J173)</f>
        <v>1.260520891898219E-2</v>
      </c>
      <c r="L174" s="1">
        <v>5.2466999999999997</v>
      </c>
      <c r="M174" s="7">
        <f>LN(Tab_dadosSafra[[#This Row],[Preço Dólar]]/L173)</f>
        <v>2.1071657916924887E-2</v>
      </c>
    </row>
    <row r="175" spans="1:13" x14ac:dyDescent="0.35">
      <c r="A175" s="1" t="s">
        <v>35</v>
      </c>
      <c r="B175" s="1" t="s">
        <v>18</v>
      </c>
      <c r="C175" s="6" t="s">
        <v>16</v>
      </c>
      <c r="D175" s="2">
        <v>49009000</v>
      </c>
      <c r="E175" s="1">
        <v>139.96</v>
      </c>
      <c r="F175" s="3">
        <v>0.49890000000000001</v>
      </c>
      <c r="G175" s="4">
        <v>45457</v>
      </c>
      <c r="H175" s="5">
        <v>19.43</v>
      </c>
      <c r="I175" s="7">
        <f>LN(Tab_dadosSafra[[#This Row],[Preço Açúcar NY]]/H174)</f>
        <v>3.402578960923186E-2</v>
      </c>
      <c r="J175" s="5">
        <f>VLOOKUP(Tab_dadosSafra[[#This Row],[Data]],[1]!Dados_Históricos___Etanol_Hidratado_Futuros[#Data],2,0)</f>
        <v>2434</v>
      </c>
      <c r="K175" s="7">
        <f>LN(Tab_dadosSafra[[#This Row],[Preço Etanol B3]]/J174)</f>
        <v>1.6152763702456961E-2</v>
      </c>
      <c r="L175" s="1">
        <v>5.3757000000000001</v>
      </c>
      <c r="M175" s="7">
        <f>LN(Tab_dadosSafra[[#This Row],[Preço Dólar]]/L174)</f>
        <v>2.4289490551224431E-2</v>
      </c>
    </row>
    <row r="176" spans="1:13" x14ac:dyDescent="0.35">
      <c r="A176" s="1" t="s">
        <v>35</v>
      </c>
      <c r="B176" s="1" t="s">
        <v>19</v>
      </c>
      <c r="C176" s="6" t="s">
        <v>15</v>
      </c>
      <c r="D176" s="2">
        <v>43405000</v>
      </c>
      <c r="E176" s="1">
        <v>143.27000000000001</v>
      </c>
      <c r="F176" s="3">
        <v>0.49880000000000002</v>
      </c>
      <c r="G176" s="4">
        <v>45474</v>
      </c>
      <c r="H176" s="5">
        <v>20.23</v>
      </c>
      <c r="I176" s="7">
        <f>LN(Tab_dadosSafra[[#This Row],[Preço Açúcar NY]]/H175)</f>
        <v>4.0348387790305397E-2</v>
      </c>
      <c r="J176" s="5">
        <f>VLOOKUP(Tab_dadosSafra[[#This Row],[Data]],[1]!Dados_Históricos___Etanol_Hidratado_Futuros[#Data],2,0)</f>
        <v>2557.5</v>
      </c>
      <c r="K176" s="7">
        <f>LN(Tab_dadosSafra[[#This Row],[Preço Etanol B3]]/J175)</f>
        <v>4.9494224278308997E-2</v>
      </c>
      <c r="L176" s="1">
        <v>5.6603000000000003</v>
      </c>
      <c r="M176" s="7">
        <f>LN(Tab_dadosSafra[[#This Row],[Preço Dólar]]/L175)</f>
        <v>5.1588096251680163E-2</v>
      </c>
    </row>
    <row r="177" spans="1:13" x14ac:dyDescent="0.35">
      <c r="A177" s="1" t="s">
        <v>35</v>
      </c>
      <c r="B177" s="1" t="s">
        <v>19</v>
      </c>
      <c r="C177" s="6" t="s">
        <v>16</v>
      </c>
      <c r="D177" s="2">
        <v>51602000</v>
      </c>
      <c r="E177" s="1">
        <v>146.86000000000001</v>
      </c>
      <c r="F177" s="3">
        <v>0.50260000000000005</v>
      </c>
      <c r="G177" s="4">
        <v>45488</v>
      </c>
      <c r="H177" s="5">
        <v>19.760000000000002</v>
      </c>
      <c r="I177" s="7">
        <f>LN(Tab_dadosSafra[[#This Row],[Preço Açúcar NY]]/H176)</f>
        <v>-2.3506958859932283E-2</v>
      </c>
      <c r="J177" s="5">
        <f>VLOOKUP(Tab_dadosSafra[[#This Row],[Data]],[1]!Dados_Históricos___Etanol_Hidratado_Futuros[#Data],2,0)</f>
        <v>2740</v>
      </c>
      <c r="K177" s="7">
        <f>LN(Tab_dadosSafra[[#This Row],[Preço Etanol B3]]/J176)</f>
        <v>6.8927701556334306E-2</v>
      </c>
      <c r="L177" s="1">
        <v>5.4447999999999999</v>
      </c>
      <c r="M177" s="7">
        <f>LN(Tab_dadosSafra[[#This Row],[Preço Dólar]]/L176)</f>
        <v>-3.8815869579518679E-2</v>
      </c>
    </row>
    <row r="178" spans="1:13" x14ac:dyDescent="0.35">
      <c r="A178" s="1" t="s">
        <v>35</v>
      </c>
      <c r="B178" s="1" t="s">
        <v>20</v>
      </c>
      <c r="C178" s="1" t="s">
        <v>15</v>
      </c>
      <c r="D178" s="2">
        <v>44033000</v>
      </c>
      <c r="E178" s="1">
        <v>151.09</v>
      </c>
      <c r="F178" s="3">
        <v>0.49270000000000003</v>
      </c>
      <c r="G178" s="4">
        <v>45505</v>
      </c>
      <c r="H178" s="5">
        <v>17.88</v>
      </c>
      <c r="I178" s="7">
        <f>LN(Tab_dadosSafra[[#This Row],[Preço Açúcar NY]]/H177)</f>
        <v>-9.9976922574353866E-2</v>
      </c>
      <c r="J178" s="5">
        <f>VLOOKUP(Tab_dadosSafra[[#This Row],[Data]],[1]!Dados_Históricos___Etanol_Hidratado_Futuros[#Data],2,0)</f>
        <v>2724</v>
      </c>
      <c r="K178" s="7">
        <f>LN(Tab_dadosSafra[[#This Row],[Preço Etanol B3]]/J177)</f>
        <v>-5.8565321127128714E-3</v>
      </c>
      <c r="L178" s="1">
        <v>5.7483000000000004</v>
      </c>
      <c r="M178" s="7">
        <f>LN(Tab_dadosSafra[[#This Row],[Preço Dólar]]/L177)</f>
        <v>5.4243134157121745E-2</v>
      </c>
    </row>
    <row r="179" spans="1:13" x14ac:dyDescent="0.35">
      <c r="A179" s="1" t="s">
        <v>35</v>
      </c>
      <c r="B179" s="1" t="s">
        <v>20</v>
      </c>
      <c r="C179" s="6" t="s">
        <v>16</v>
      </c>
      <c r="D179" s="2">
        <v>45228000</v>
      </c>
      <c r="E179" s="1">
        <v>155.34</v>
      </c>
      <c r="F179" s="3">
        <v>0.48849999999999999</v>
      </c>
      <c r="G179" s="4">
        <v>45519</v>
      </c>
      <c r="H179" s="5">
        <v>18.5</v>
      </c>
      <c r="I179" s="7">
        <f>LN(Tab_dadosSafra[[#This Row],[Preço Açúcar NY]]/H178)</f>
        <v>3.4087962338911128E-2</v>
      </c>
      <c r="J179" s="5">
        <f>VLOOKUP(Tab_dadosSafra[[#This Row],[Data]],[1]!Dados_Históricos___Etanol_Hidratado_Futuros[#Data],2,0)</f>
        <v>2669.5</v>
      </c>
      <c r="K179" s="7">
        <f>LN(Tab_dadosSafra[[#This Row],[Preço Etanol B3]]/J178)</f>
        <v>-2.0210199329162029E-2</v>
      </c>
      <c r="L179" s="1">
        <v>5.4827000000000004</v>
      </c>
      <c r="M179" s="7">
        <f>LN(Tab_dadosSafra[[#This Row],[Preço Dólar]]/L178)</f>
        <v>-4.7306478568925642E-2</v>
      </c>
    </row>
    <row r="180" spans="1:13" x14ac:dyDescent="0.35">
      <c r="A180" s="1" t="s">
        <v>35</v>
      </c>
      <c r="B180" s="1" t="s">
        <v>21</v>
      </c>
      <c r="C180" s="6" t="s">
        <v>15</v>
      </c>
      <c r="D180" s="2">
        <v>42991000</v>
      </c>
      <c r="E180" s="1">
        <v>159.52000000000001</v>
      </c>
      <c r="F180" s="3">
        <v>0.47860000000000003</v>
      </c>
      <c r="G180" s="4">
        <v>45538</v>
      </c>
      <c r="H180" s="5">
        <v>19.489999999999998</v>
      </c>
      <c r="I180" s="7">
        <f>LN(Tab_dadosSafra[[#This Row],[Preço Açúcar NY]]/H179)</f>
        <v>5.2130781435190211E-2</v>
      </c>
      <c r="J180" s="5">
        <f>VLOOKUP(Tab_dadosSafra[[#This Row],[Data]],[1]!Dados_Históricos___Etanol_Hidratado_Futuros[#Data],2,0)</f>
        <v>2646</v>
      </c>
      <c r="K180" s="7">
        <f>LN(Tab_dadosSafra[[#This Row],[Preço Etanol B3]]/J179)</f>
        <v>-8.8421232653398928E-3</v>
      </c>
      <c r="L180" s="1">
        <v>5.6454000000000004</v>
      </c>
      <c r="M180" s="7">
        <f>LN(Tab_dadosSafra[[#This Row],[Preço Dólar]]/L179)</f>
        <v>2.9243373905937647E-2</v>
      </c>
    </row>
    <row r="181" spans="1:13" x14ac:dyDescent="0.35">
      <c r="A181" s="1" t="s">
        <v>35</v>
      </c>
      <c r="B181" s="1" t="s">
        <v>22</v>
      </c>
      <c r="C181" s="6" t="s">
        <v>16</v>
      </c>
      <c r="D181" s="2">
        <v>38844000</v>
      </c>
      <c r="E181" s="1">
        <v>160.01</v>
      </c>
      <c r="F181" s="3">
        <v>0.47789999999999999</v>
      </c>
      <c r="G181" s="4">
        <v>45551</v>
      </c>
      <c r="H181" s="5">
        <v>19.18</v>
      </c>
      <c r="I181" s="7">
        <f>LN(Tab_dadosSafra[[#This Row],[Preço Açúcar NY]]/H180)</f>
        <v>-1.603344406417722E-2</v>
      </c>
      <c r="J181" s="5">
        <f>VLOOKUP(Tab_dadosSafra[[#This Row],[Data]],[1]!Dados_Históricos___Etanol_Hidratado_Futuros[#Data],2,0)</f>
        <v>2518.5</v>
      </c>
      <c r="K181" s="7">
        <f>LN(Tab_dadosSafra[[#This Row],[Preço Etanol B3]]/J180)</f>
        <v>-4.9385579489195829E-2</v>
      </c>
      <c r="L181" s="1">
        <v>5.51</v>
      </c>
      <c r="M181" s="7">
        <f>LN(Tab_dadosSafra[[#This Row],[Preço Dólar]]/L180)</f>
        <v>-2.4276431093814846E-2</v>
      </c>
    </row>
    <row r="182" spans="1:13" x14ac:dyDescent="0.35">
      <c r="A182" s="1" t="s">
        <v>35</v>
      </c>
      <c r="B182" s="1" t="s">
        <v>23</v>
      </c>
      <c r="C182" s="1" t="s">
        <v>15</v>
      </c>
      <c r="D182" s="2">
        <v>33937000</v>
      </c>
      <c r="E182" s="1">
        <v>160.30000000000001</v>
      </c>
      <c r="F182" s="3">
        <v>0.4728</v>
      </c>
      <c r="G182" s="4">
        <v>45566</v>
      </c>
      <c r="H182" s="5">
        <v>22.97</v>
      </c>
      <c r="I182" s="7">
        <f>LN(Tab_dadosSafra[[#This Row],[Preço Açúcar NY]]/H181)</f>
        <v>0.18032094724571465</v>
      </c>
      <c r="J182" s="5">
        <f>VLOOKUP(Tab_dadosSafra[[#This Row],[Data]],[1]!Dados_Históricos___Etanol_Hidratado_Futuros[#Data],2,0)</f>
        <v>2535.5</v>
      </c>
      <c r="K182" s="7">
        <f>LN(Tab_dadosSafra[[#This Row],[Preço Etanol B3]]/J181)</f>
        <v>6.7273700493686323E-3</v>
      </c>
      <c r="L182" s="1">
        <v>5.4367999999999999</v>
      </c>
      <c r="M182" s="7">
        <f>LN(Tab_dadosSafra[[#This Row],[Preço Dólar]]/L181)</f>
        <v>-1.33739706693473E-2</v>
      </c>
    </row>
    <row r="183" spans="1:13" x14ac:dyDescent="0.35">
      <c r="A183" s="1" t="s">
        <v>35</v>
      </c>
      <c r="B183" s="1" t="s">
        <v>23</v>
      </c>
      <c r="C183" s="6" t="s">
        <v>16</v>
      </c>
      <c r="D183" s="2">
        <v>27205000</v>
      </c>
      <c r="E183" s="1">
        <v>149.47999999999999</v>
      </c>
      <c r="F183" s="3">
        <v>0.4612</v>
      </c>
      <c r="G183" s="4">
        <v>45580</v>
      </c>
      <c r="H183" s="5">
        <v>22.82</v>
      </c>
      <c r="I183" s="7">
        <f>LN(Tab_dadosSafra[[#This Row],[Preço Açúcar NY]]/H182)</f>
        <v>-6.5516722670772697E-3</v>
      </c>
      <c r="J183" s="5">
        <f>VLOOKUP(Tab_dadosSafra[[#This Row],[Data]],[1]!Dados_Históricos___Etanol_Hidratado_Futuros[#Data],2,0)</f>
        <v>2676</v>
      </c>
      <c r="K183" s="7">
        <f>LN(Tab_dadosSafra[[#This Row],[Preço Etanol B3]]/J182)</f>
        <v>5.3932286013045339E-2</v>
      </c>
      <c r="L183" s="1">
        <v>5.6501999999999999</v>
      </c>
      <c r="M183" s="7">
        <f>LN(Tab_dadosSafra[[#This Row],[Preço Dólar]]/L182)</f>
        <v>3.8500290266459625E-2</v>
      </c>
    </row>
    <row r="184" spans="1:13" x14ac:dyDescent="0.35">
      <c r="A184" s="1" t="s">
        <v>35</v>
      </c>
      <c r="B184" s="1" t="s">
        <v>24</v>
      </c>
      <c r="C184" s="6" t="s">
        <v>15</v>
      </c>
      <c r="D184" s="2">
        <v>16409000</v>
      </c>
      <c r="E184" s="1">
        <v>133.09</v>
      </c>
      <c r="F184" s="3">
        <v>0.43</v>
      </c>
      <c r="G184" s="4">
        <v>45597</v>
      </c>
      <c r="H184" s="5">
        <v>22.07</v>
      </c>
      <c r="I184" s="7">
        <f>LN(Tab_dadosSafra[[#This Row],[Preço Açúcar NY]]/H183)</f>
        <v>-3.341812416528453E-2</v>
      </c>
      <c r="J184" s="5">
        <f>VLOOKUP(Tab_dadosSafra[[#This Row],[Data]],[1]!Dados_Históricos___Etanol_Hidratado_Futuros[#Data],2,0)</f>
        <v>2711</v>
      </c>
      <c r="K184" s="7">
        <f>LN(Tab_dadosSafra[[#This Row],[Preço Etanol B3]]/J183)</f>
        <v>1.2994428250546477E-2</v>
      </c>
      <c r="L184" s="1">
        <v>5.8681000000000001</v>
      </c>
      <c r="M184" s="7">
        <f>LN(Tab_dadosSafra[[#This Row],[Preço Dólar]]/L183)</f>
        <v>3.783995895505253E-2</v>
      </c>
    </row>
    <row r="185" spans="1:13" x14ac:dyDescent="0.35">
      <c r="A185" s="1" t="s">
        <v>35</v>
      </c>
      <c r="B185" s="1" t="s">
        <v>24</v>
      </c>
      <c r="C185" s="6" t="s">
        <v>16</v>
      </c>
      <c r="D185" s="2">
        <v>20266000</v>
      </c>
      <c r="E185" s="1">
        <v>124.59</v>
      </c>
      <c r="F185" s="3">
        <v>0.44890000000000002</v>
      </c>
      <c r="G185" s="4">
        <v>45611</v>
      </c>
      <c r="H185" s="5">
        <v>21.58</v>
      </c>
      <c r="I185" s="7">
        <f>LN(Tab_dadosSafra[[#This Row],[Preço Açúcar NY]]/H184)</f>
        <v>-2.2452260438656571E-2</v>
      </c>
      <c r="J185" s="5">
        <v>0</v>
      </c>
      <c r="K185" s="7">
        <v>0</v>
      </c>
      <c r="L185" s="1">
        <v>5.7946999999999997</v>
      </c>
      <c r="M185" s="7">
        <f>LN(Tab_dadosSafra[[#This Row],[Preço Dólar]]/L184)</f>
        <v>-1.2587195031499514E-2</v>
      </c>
    </row>
    <row r="186" spans="1:13" x14ac:dyDescent="0.35">
      <c r="A186" s="1" t="s">
        <v>35</v>
      </c>
      <c r="B186" s="1" t="s">
        <v>25</v>
      </c>
      <c r="C186" s="1" t="s">
        <v>15</v>
      </c>
      <c r="D186" s="2">
        <v>8814000</v>
      </c>
      <c r="E186" s="1">
        <v>115.92</v>
      </c>
      <c r="F186" s="3">
        <v>0.35670000000000002</v>
      </c>
      <c r="G186" s="4">
        <v>45628</v>
      </c>
      <c r="H186" s="5">
        <v>21.07</v>
      </c>
      <c r="I186" s="7">
        <f>LN(Tab_dadosSafra[[#This Row],[Preço Açúcar NY]]/H185)</f>
        <v>-2.3916732013890815E-2</v>
      </c>
      <c r="J186" s="5">
        <f>VLOOKUP(Tab_dadosSafra[[#This Row],[Data]],[1]!Dados_Históricos___Etanol_Hidratado_Futuros[#Data],2,0)</f>
        <v>2740</v>
      </c>
      <c r="K186" s="7">
        <v>0</v>
      </c>
      <c r="L186" s="1">
        <v>6.0579999999999998</v>
      </c>
      <c r="M186" s="7">
        <f>LN(Tab_dadosSafra[[#This Row],[Preço Dólar]]/L185)</f>
        <v>4.4436005919557188E-2</v>
      </c>
    </row>
    <row r="187" spans="1:13" x14ac:dyDescent="0.35">
      <c r="A187" s="1" t="s">
        <v>35</v>
      </c>
      <c r="B187" s="1" t="s">
        <v>25</v>
      </c>
      <c r="C187" s="6" t="s">
        <v>16</v>
      </c>
      <c r="D187" s="2">
        <v>1715000</v>
      </c>
      <c r="E187" s="1">
        <v>121.58</v>
      </c>
      <c r="F187" s="3">
        <v>0.317</v>
      </c>
      <c r="G187" s="4">
        <v>45642</v>
      </c>
      <c r="H187" s="5">
        <v>20.68</v>
      </c>
      <c r="I187" s="7">
        <f>LN(Tab_dadosSafra[[#This Row],[Preço Açúcar NY]]/H186)</f>
        <v>-1.8683178175869293E-2</v>
      </c>
      <c r="J187" s="5">
        <f>VLOOKUP(Tab_dadosSafra[[#This Row],[Data]],[1]!Dados_Históricos___Etanol_Hidratado_Futuros[#Data],2,0)</f>
        <v>2743.5</v>
      </c>
      <c r="K187" s="7">
        <f>LN(Tab_dadosSafra[[#This Row],[Preço Etanol B3]]/J186)</f>
        <v>1.2765571169141377E-3</v>
      </c>
      <c r="L187" s="1">
        <v>6.1478999999999999</v>
      </c>
      <c r="M187" s="7">
        <f>LN(Tab_dadosSafra[[#This Row],[Preço Dólar]]/L186)</f>
        <v>1.473084748684049E-2</v>
      </c>
    </row>
    <row r="188" spans="1:13" x14ac:dyDescent="0.35">
      <c r="A188" s="1" t="s">
        <v>35</v>
      </c>
      <c r="B188" s="1" t="s">
        <v>26</v>
      </c>
      <c r="C188" s="6" t="s">
        <v>15</v>
      </c>
      <c r="D188" s="2">
        <v>301000</v>
      </c>
      <c r="E188" s="1">
        <v>118.51</v>
      </c>
      <c r="F188" s="3">
        <v>0.20849999999999999</v>
      </c>
      <c r="G188" s="4">
        <v>45659</v>
      </c>
      <c r="H188" s="5">
        <v>19.73</v>
      </c>
      <c r="I188" s="7">
        <f>LN(Tab_dadosSafra[[#This Row],[Preço Açúcar NY]]/H187)</f>
        <v>-4.7026729605704344E-2</v>
      </c>
      <c r="J188" s="5">
        <f>VLOOKUP(Tab_dadosSafra[[#This Row],[Data]],[1]!Dados_Históricos___Etanol_Hidratado_Futuros[#Data],2,0)</f>
        <v>2786.5</v>
      </c>
      <c r="K188" s="7">
        <f>LN(Tab_dadosSafra[[#This Row],[Preço Etanol B3]]/J187)</f>
        <v>1.5551850510560995E-2</v>
      </c>
      <c r="L188" s="1">
        <v>6.1519000000000004</v>
      </c>
      <c r="M188" s="7">
        <f>LN(Tab_dadosSafra[[#This Row],[Preço Dólar]]/L187)</f>
        <v>6.5041710288203636E-4</v>
      </c>
    </row>
    <row r="189" spans="1:13" x14ac:dyDescent="0.35">
      <c r="A189" s="1" t="s">
        <v>35</v>
      </c>
      <c r="B189" s="1" t="s">
        <v>26</v>
      </c>
      <c r="C189" s="6" t="s">
        <v>16</v>
      </c>
      <c r="D189" s="2">
        <v>239000</v>
      </c>
      <c r="E189" s="1">
        <v>134.69999999999999</v>
      </c>
      <c r="F189" s="3">
        <v>0.2384</v>
      </c>
      <c r="G189" s="4">
        <v>45672</v>
      </c>
      <c r="H189" s="5">
        <v>18.010000000000002</v>
      </c>
      <c r="I189" s="7">
        <f>LN(Tab_dadosSafra[[#This Row],[Preço Açúcar NY]]/H188)</f>
        <v>-9.1213160846659216E-2</v>
      </c>
      <c r="J189" s="5">
        <f>VLOOKUP(Tab_dadosSafra[[#This Row],[Data]],[1]!Dados_Históricos___Etanol_Hidratado_Futuros[#Data],2,0)</f>
        <v>2882.5</v>
      </c>
      <c r="K189" s="7">
        <f>LN(Tab_dadosSafra[[#This Row],[Preço Etanol B3]]/J188)</f>
        <v>3.3871645133623014E-2</v>
      </c>
      <c r="L189" s="1">
        <v>6.0098000000000003</v>
      </c>
      <c r="M189" s="7">
        <f>LN(Tab_dadosSafra[[#This Row],[Preço Dólar]]/L188)</f>
        <v>-2.3369507071588705E-2</v>
      </c>
    </row>
    <row r="190" spans="1:13" x14ac:dyDescent="0.35">
      <c r="A190" s="1" t="s">
        <v>35</v>
      </c>
      <c r="B190" s="1" t="s">
        <v>27</v>
      </c>
      <c r="C190" s="1" t="s">
        <v>15</v>
      </c>
      <c r="D190" s="2">
        <v>245000</v>
      </c>
      <c r="E190" s="1">
        <v>134.74</v>
      </c>
      <c r="F190" s="3">
        <v>0.22989999999999999</v>
      </c>
      <c r="G190" s="4">
        <v>45691</v>
      </c>
      <c r="H190" s="5">
        <v>19.260000000000002</v>
      </c>
      <c r="I190" s="7">
        <f>LN(Tab_dadosSafra[[#This Row],[Preço Açúcar NY]]/H189)</f>
        <v>6.7103247182114731E-2</v>
      </c>
      <c r="J190" s="5">
        <f>VLOOKUP(Tab_dadosSafra[[#This Row],[Data]],[1]!Dados_Históricos___Etanol_Hidratado_Futuros[#Data],2,0)</f>
        <v>2986</v>
      </c>
      <c r="K190" s="7">
        <f>LN(Tab_dadosSafra[[#This Row],[Preço Etanol B3]]/J189)</f>
        <v>3.5276725955921601E-2</v>
      </c>
      <c r="L190" s="1">
        <v>5.8066000000000004</v>
      </c>
      <c r="M190" s="7">
        <f>LN(Tab_dadosSafra[[#This Row],[Preço Dólar]]/L189)</f>
        <v>-3.439626848909727E-2</v>
      </c>
    </row>
    <row r="191" spans="1:13" x14ac:dyDescent="0.35">
      <c r="A191" s="1" t="s">
        <v>35</v>
      </c>
      <c r="B191" s="1" t="s">
        <v>27</v>
      </c>
      <c r="C191" s="6" t="s">
        <v>16</v>
      </c>
      <c r="D191" s="2">
        <v>283000</v>
      </c>
      <c r="E191" s="1">
        <v>142.09</v>
      </c>
      <c r="F191" s="3">
        <v>0.2359</v>
      </c>
      <c r="G191" s="4">
        <v>45702</v>
      </c>
      <c r="H191" s="5">
        <v>20.420000000000002</v>
      </c>
      <c r="I191" s="7">
        <f>LN(Tab_dadosSafra[[#This Row],[Preço Açúcar NY]]/H190)</f>
        <v>5.8484406366540079E-2</v>
      </c>
      <c r="J191" s="5">
        <f>VLOOKUP(Tab_dadosSafra[[#This Row],[Data]],[1]!Dados_Históricos___Etanol_Hidratado_Futuros[#Data],2,0)</f>
        <v>2972</v>
      </c>
      <c r="K191" s="7">
        <f>LN(Tab_dadosSafra[[#This Row],[Preço Etanol B3]]/J190)</f>
        <v>-4.6995722614858598E-3</v>
      </c>
      <c r="L191" s="1">
        <v>5.7042000000000002</v>
      </c>
      <c r="M191" s="7">
        <f>LN(Tab_dadosSafra[[#This Row],[Preço Dólar]]/L190)</f>
        <v>-1.7792456023179408E-2</v>
      </c>
    </row>
    <row r="192" spans="1:13" x14ac:dyDescent="0.35">
      <c r="A192" s="1" t="s">
        <v>35</v>
      </c>
      <c r="B192" s="1" t="s">
        <v>28</v>
      </c>
      <c r="C192" s="6" t="s">
        <v>15</v>
      </c>
      <c r="D192" s="2">
        <v>1828000</v>
      </c>
      <c r="E192" s="1">
        <v>99.17</v>
      </c>
      <c r="F192" s="3">
        <v>0.30120000000000002</v>
      </c>
      <c r="G192" s="4">
        <v>45719</v>
      </c>
      <c r="H192" s="5">
        <v>18.22</v>
      </c>
      <c r="I192" s="7">
        <f>LN(Tab_dadosSafra[[#This Row],[Preço Açúcar NY]]/H191)</f>
        <v>-0.11399492090470743</v>
      </c>
      <c r="J192" s="5">
        <v>0</v>
      </c>
      <c r="K192" s="7">
        <v>0</v>
      </c>
      <c r="L192" s="1">
        <v>5.8852000000000002</v>
      </c>
      <c r="M192" s="7">
        <f>LN(Tab_dadosSafra[[#This Row],[Preço Dólar]]/L191)</f>
        <v>3.1237979230752212E-2</v>
      </c>
    </row>
    <row r="193" spans="1:13" x14ac:dyDescent="0.35">
      <c r="A193" s="1" t="s">
        <v>35</v>
      </c>
      <c r="B193" s="1" t="s">
        <v>28</v>
      </c>
      <c r="C193" s="6" t="s">
        <v>16</v>
      </c>
      <c r="D193" s="2">
        <v>4558000</v>
      </c>
      <c r="E193" s="1">
        <v>107.68</v>
      </c>
      <c r="F193" s="3">
        <v>0.43009999999999998</v>
      </c>
      <c r="G193" s="4">
        <v>45730</v>
      </c>
      <c r="H193" s="5">
        <v>19.190000000000001</v>
      </c>
      <c r="I193" s="7">
        <f>LN(Tab_dadosSafra[[#This Row],[Preço Açúcar NY]]/H192)</f>
        <v>5.1869418187796425E-2</v>
      </c>
      <c r="J193" s="5">
        <f>VLOOKUP(Tab_dadosSafra[[#This Row],[Data]],[1]!Dados_Históricos___Etanol_Hidratado_Futuros[#Data],2,0)</f>
        <v>2911</v>
      </c>
      <c r="K193" s="7">
        <v>0</v>
      </c>
      <c r="L193" s="1">
        <v>5.7385000000000002</v>
      </c>
      <c r="M193" s="7">
        <f>LN(Tab_dadosSafra[[#This Row],[Preço Dólar]]/L192)</f>
        <v>-2.5242872703068873E-2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Histórico 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Guilherme Júnior</dc:creator>
  <cp:lastModifiedBy>Rogério Guilherme Júnior</cp:lastModifiedBy>
  <dcterms:created xsi:type="dcterms:W3CDTF">2025-11-27T21:30:34Z</dcterms:created>
  <dcterms:modified xsi:type="dcterms:W3CDTF">2025-11-27T23:27:18Z</dcterms:modified>
</cp:coreProperties>
</file>